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ebad\Downloads\"/>
    </mc:Choice>
  </mc:AlternateContent>
  <xr:revisionPtr revIDLastSave="0" documentId="8_{3E66422A-AA13-3349-B087-9FE29098E1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Mayo 26" sheetId="2" r:id="rId1"/>
    <sheet name="tiros Mayo 26" sheetId="1" r:id="rId2"/>
    <sheet name="Hoja1" sheetId="4" state="hidden" r:id="rId3"/>
    <sheet name="TilTil" sheetId="3" r:id="rId4"/>
  </sheets>
  <definedNames>
    <definedName name="_xlnm._FilterDatabase" localSheetId="0" hidden="1">'inventario Mayo 26'!$H$1:$L$13</definedName>
    <definedName name="_xlnm._FilterDatabase" localSheetId="1" hidden="1">'tiros Mayo 26'!$A$1:$D$24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O127" i="1"/>
  <c r="G136" i="1"/>
  <c r="E49" i="1"/>
  <c r="E41" i="1"/>
  <c r="E127" i="1"/>
  <c r="C136" i="1"/>
  <c r="C135" i="1"/>
  <c r="C137" i="1"/>
  <c r="I39" i="2"/>
  <c r="L39" i="2"/>
  <c r="E3" i="2"/>
  <c r="B4" i="2"/>
  <c r="E4" i="2"/>
  <c r="L3" i="2"/>
  <c r="I4" i="2"/>
  <c r="L4" i="2"/>
  <c r="I5" i="2"/>
  <c r="L5" i="2"/>
  <c r="D117" i="2"/>
  <c r="E87" i="2"/>
  <c r="B88" i="2"/>
  <c r="E88" i="2"/>
  <c r="B89" i="2"/>
  <c r="E89" i="2"/>
  <c r="B90" i="2"/>
  <c r="E90" i="2"/>
  <c r="B91" i="2"/>
  <c r="E91" i="2"/>
  <c r="B92" i="2"/>
  <c r="E92" i="2"/>
  <c r="B93" i="2"/>
  <c r="E93" i="2"/>
  <c r="B94" i="2"/>
  <c r="E94" i="2"/>
  <c r="B95" i="2"/>
  <c r="E95" i="2"/>
  <c r="B96" i="2"/>
  <c r="E96" i="2"/>
  <c r="B97" i="2"/>
  <c r="E97" i="2"/>
  <c r="B98" i="2"/>
  <c r="E98" i="2"/>
  <c r="B99" i="2"/>
  <c r="E99" i="2"/>
  <c r="B100" i="2"/>
  <c r="E100" i="2"/>
  <c r="B101" i="2"/>
  <c r="E101" i="2"/>
  <c r="B102" i="2"/>
  <c r="E102" i="2"/>
  <c r="B103" i="2"/>
  <c r="E103" i="2"/>
  <c r="B104" i="2"/>
  <c r="E104" i="2"/>
  <c r="B105" i="2"/>
  <c r="E105" i="2"/>
  <c r="B106" i="2"/>
  <c r="E106" i="2"/>
  <c r="B107" i="2"/>
  <c r="E107" i="2"/>
  <c r="B108" i="2"/>
  <c r="E108" i="2"/>
  <c r="B109" i="2"/>
  <c r="E109" i="2"/>
  <c r="B110" i="2"/>
  <c r="E110" i="2"/>
  <c r="B111" i="2"/>
  <c r="E111" i="2"/>
  <c r="B112" i="2"/>
  <c r="E112" i="2"/>
  <c r="B113" i="2"/>
  <c r="E113" i="2"/>
  <c r="B114" i="2"/>
  <c r="E114" i="2"/>
  <c r="B115" i="2"/>
  <c r="E115" i="2"/>
  <c r="B116" i="2"/>
  <c r="E116" i="2"/>
  <c r="D82" i="2"/>
  <c r="K82" i="2"/>
  <c r="K66" i="2"/>
  <c r="D66" i="2"/>
  <c r="E67" i="2"/>
  <c r="L67" i="2"/>
  <c r="L32" i="2"/>
  <c r="E32" i="2"/>
  <c r="L73" i="2"/>
  <c r="I74" i="2"/>
  <c r="L74" i="2"/>
  <c r="I75" i="2"/>
  <c r="L75" i="2"/>
  <c r="I76" i="2"/>
  <c r="L76" i="2"/>
  <c r="I77" i="2"/>
  <c r="L77" i="2"/>
  <c r="I78" i="2"/>
  <c r="L78" i="2"/>
  <c r="I79" i="2"/>
  <c r="L79" i="2"/>
  <c r="I80" i="2"/>
  <c r="L80" i="2"/>
  <c r="I81" i="2"/>
  <c r="L81" i="2"/>
  <c r="E73" i="2"/>
  <c r="B74" i="2"/>
  <c r="E74" i="2"/>
  <c r="B75" i="2"/>
  <c r="E75" i="2"/>
  <c r="B76" i="2"/>
  <c r="E76" i="2"/>
  <c r="B77" i="2"/>
  <c r="E77" i="2"/>
  <c r="B78" i="2"/>
  <c r="E78" i="2"/>
  <c r="B79" i="2"/>
  <c r="E79" i="2"/>
  <c r="B80" i="2"/>
  <c r="E80" i="2"/>
  <c r="B81" i="2"/>
  <c r="E81" i="2"/>
  <c r="L38" i="2"/>
  <c r="E38" i="2"/>
  <c r="B39" i="2"/>
  <c r="E39" i="2"/>
  <c r="B40" i="2"/>
  <c r="G135" i="1"/>
  <c r="K31" i="2"/>
  <c r="D31" i="2"/>
  <c r="I40" i="2"/>
  <c r="L40" i="2"/>
  <c r="I41" i="2"/>
  <c r="L41" i="2"/>
  <c r="E40" i="2"/>
  <c r="B5" i="2"/>
  <c r="E5" i="2"/>
  <c r="I42" i="2"/>
  <c r="L42" i="2"/>
  <c r="B41" i="2"/>
  <c r="E41" i="2"/>
  <c r="I6" i="2"/>
  <c r="L6" i="2"/>
  <c r="I7" i="2"/>
  <c r="B6" i="2"/>
  <c r="E6" i="2"/>
  <c r="I43" i="2"/>
  <c r="L43" i="2"/>
  <c r="B42" i="2"/>
  <c r="E42" i="2"/>
  <c r="L7" i="2"/>
  <c r="I8" i="2"/>
  <c r="L8" i="2"/>
  <c r="I9" i="2"/>
  <c r="L9" i="2"/>
  <c r="B7" i="2"/>
  <c r="E7" i="2"/>
  <c r="I44" i="2"/>
  <c r="L44" i="2"/>
  <c r="B43" i="2"/>
  <c r="E43" i="2"/>
  <c r="B8" i="2"/>
  <c r="E8" i="2"/>
  <c r="I45" i="2"/>
  <c r="L45" i="2"/>
  <c r="B44" i="2"/>
  <c r="E44" i="2"/>
  <c r="I10" i="2"/>
  <c r="L10" i="2"/>
  <c r="B9" i="2"/>
  <c r="E9" i="2"/>
  <c r="I46" i="2"/>
  <c r="L46" i="2"/>
  <c r="B45" i="2"/>
  <c r="E45" i="2"/>
  <c r="I11" i="2"/>
  <c r="L11" i="2"/>
  <c r="B10" i="2"/>
  <c r="E10" i="2"/>
  <c r="I47" i="2"/>
  <c r="L47" i="2"/>
  <c r="B46" i="2"/>
  <c r="E46" i="2"/>
  <c r="I12" i="2"/>
  <c r="L12" i="2"/>
  <c r="B11" i="2"/>
  <c r="E11" i="2"/>
  <c r="I48" i="2"/>
  <c r="L48" i="2"/>
  <c r="B47" i="2"/>
  <c r="E47" i="2"/>
  <c r="I13" i="2"/>
  <c r="L13" i="2"/>
  <c r="B12" i="2"/>
  <c r="E12" i="2"/>
  <c r="I49" i="2"/>
  <c r="L49" i="2"/>
  <c r="B48" i="2"/>
  <c r="E48" i="2"/>
  <c r="I14" i="2"/>
  <c r="L14" i="2"/>
  <c r="B13" i="2"/>
  <c r="E13" i="2"/>
  <c r="I50" i="2"/>
  <c r="L50" i="2"/>
  <c r="B49" i="2"/>
  <c r="E49" i="2"/>
  <c r="B50" i="2"/>
  <c r="E50" i="2"/>
  <c r="B51" i="2"/>
  <c r="E51" i="2"/>
  <c r="B52" i="2"/>
  <c r="E52" i="2"/>
  <c r="B53" i="2"/>
  <c r="E53" i="2"/>
  <c r="B54" i="2"/>
  <c r="E54" i="2"/>
  <c r="B55" i="2"/>
  <c r="E55" i="2"/>
  <c r="B56" i="2"/>
  <c r="E56" i="2"/>
  <c r="B57" i="2"/>
  <c r="E57" i="2"/>
  <c r="B58" i="2"/>
  <c r="E58" i="2"/>
  <c r="B59" i="2"/>
  <c r="E59" i="2"/>
  <c r="B60" i="2"/>
  <c r="E60" i="2"/>
  <c r="B61" i="2"/>
  <c r="E61" i="2"/>
  <c r="B62" i="2"/>
  <c r="E62" i="2"/>
  <c r="B63" i="2"/>
  <c r="E63" i="2"/>
  <c r="B64" i="2"/>
  <c r="E64" i="2"/>
  <c r="B65" i="2"/>
  <c r="E65" i="2"/>
  <c r="I15" i="2"/>
  <c r="L15" i="2"/>
  <c r="B14" i="2"/>
  <c r="E14" i="2"/>
  <c r="B15" i="2"/>
  <c r="E15" i="2"/>
  <c r="B16" i="2"/>
  <c r="E16" i="2"/>
  <c r="B17" i="2"/>
  <c r="E17" i="2"/>
  <c r="B18" i="2"/>
  <c r="E18" i="2"/>
  <c r="B19" i="2"/>
  <c r="E19" i="2"/>
  <c r="B20" i="2"/>
  <c r="E20" i="2"/>
  <c r="B21" i="2"/>
  <c r="E21" i="2"/>
  <c r="B22" i="2"/>
  <c r="E22" i="2"/>
  <c r="B23" i="2"/>
  <c r="E23" i="2"/>
  <c r="B24" i="2"/>
  <c r="E24" i="2"/>
  <c r="B25" i="2"/>
  <c r="E25" i="2"/>
  <c r="B26" i="2"/>
  <c r="E26" i="2"/>
  <c r="B27" i="2"/>
  <c r="E27" i="2"/>
  <c r="B28" i="2"/>
  <c r="E28" i="2"/>
  <c r="B29" i="2"/>
  <c r="E29" i="2"/>
  <c r="B30" i="2"/>
  <c r="E30" i="2"/>
  <c r="I51" i="2"/>
  <c r="L51" i="2"/>
  <c r="I16" i="2"/>
  <c r="L16" i="2"/>
  <c r="I52" i="2"/>
  <c r="L52" i="2"/>
  <c r="I17" i="2"/>
  <c r="L17" i="2"/>
  <c r="I53" i="2"/>
  <c r="L53" i="2"/>
  <c r="I18" i="2"/>
  <c r="L18" i="2"/>
  <c r="I54" i="2"/>
  <c r="L54" i="2"/>
  <c r="I19" i="2"/>
  <c r="L19" i="2"/>
  <c r="I55" i="2"/>
  <c r="L55" i="2"/>
  <c r="I20" i="2"/>
  <c r="L20" i="2"/>
  <c r="I56" i="2"/>
  <c r="L56" i="2"/>
  <c r="I21" i="2"/>
  <c r="L21" i="2"/>
  <c r="I57" i="2"/>
  <c r="L57" i="2"/>
  <c r="I22" i="2"/>
  <c r="L22" i="2"/>
  <c r="I58" i="2"/>
  <c r="L58" i="2"/>
  <c r="I23" i="2"/>
  <c r="L23" i="2"/>
  <c r="I59" i="2"/>
  <c r="L59" i="2"/>
  <c r="I24" i="2"/>
  <c r="L24" i="2"/>
  <c r="I60" i="2"/>
  <c r="L60" i="2"/>
  <c r="I25" i="2"/>
  <c r="L25" i="2"/>
  <c r="I61" i="2"/>
  <c r="L61" i="2"/>
  <c r="I26" i="2"/>
  <c r="L26" i="2"/>
  <c r="I62" i="2"/>
  <c r="L62" i="2"/>
  <c r="I27" i="2"/>
  <c r="L27" i="2"/>
  <c r="I63" i="2"/>
  <c r="L63" i="2"/>
  <c r="I28" i="2"/>
  <c r="L28" i="2"/>
  <c r="I64" i="2"/>
  <c r="L64" i="2"/>
  <c r="I29" i="2"/>
  <c r="L29" i="2"/>
  <c r="I65" i="2"/>
  <c r="L65" i="2"/>
  <c r="I30" i="2"/>
  <c r="L30" i="2"/>
  <c r="G137" i="1"/>
  <c r="F130" i="1"/>
</calcChain>
</file>

<file path=xl/sharedStrings.xml><?xml version="1.0" encoding="utf-8"?>
<sst xmlns="http://schemas.openxmlformats.org/spreadsheetml/2006/main" count="323" uniqueCount="65">
  <si>
    <t>Fecha</t>
  </si>
  <si>
    <t>Existencia</t>
  </si>
  <si>
    <t xml:space="preserve">Existencia </t>
  </si>
  <si>
    <t>Salida</t>
  </si>
  <si>
    <t>Entrada</t>
  </si>
  <si>
    <t>Saldo</t>
  </si>
  <si>
    <t>Anfo (kg)</t>
  </si>
  <si>
    <t>Dinamita (und)</t>
  </si>
  <si>
    <t>Fulminante (Und)</t>
  </si>
  <si>
    <t>saldo</t>
  </si>
  <si>
    <t>Guia (mts)</t>
  </si>
  <si>
    <t>Cordon (Mts)</t>
  </si>
  <si>
    <t>Dias de trabajo</t>
  </si>
  <si>
    <t>Total consumo</t>
  </si>
  <si>
    <t>Total Consumo</t>
  </si>
  <si>
    <t>Dia</t>
  </si>
  <si>
    <t>Perforo</t>
  </si>
  <si>
    <t xml:space="preserve">Total tiros </t>
  </si>
  <si>
    <t xml:space="preserve">Tiros </t>
  </si>
  <si>
    <t>Total Tiros 5x2</t>
  </si>
  <si>
    <t>Total Tiro Mes</t>
  </si>
  <si>
    <t>Sorftron o Famecorte (Und)</t>
  </si>
  <si>
    <t xml:space="preserve">Total Consumo </t>
  </si>
  <si>
    <t>Cant PyT</t>
  </si>
  <si>
    <t>Total tiros</t>
  </si>
  <si>
    <t>Media 24 horas</t>
  </si>
  <si>
    <t>5X2</t>
  </si>
  <si>
    <t>7X7</t>
  </si>
  <si>
    <t xml:space="preserve">Nombre </t>
  </si>
  <si>
    <t xml:space="preserve"> </t>
  </si>
  <si>
    <t>cantidad</t>
  </si>
  <si>
    <t>explosivo</t>
  </si>
  <si>
    <t>Turno B Juan Pablo Astudillo</t>
  </si>
  <si>
    <t>Material</t>
  </si>
  <si>
    <t>Longitud de tiro</t>
  </si>
  <si>
    <t>Turno 5x2 jaime garate</t>
  </si>
  <si>
    <t>Luis Donoso</t>
  </si>
  <si>
    <t>Marcelino Cortes</t>
  </si>
  <si>
    <t>Luis Castro</t>
  </si>
  <si>
    <t>Juan Torres</t>
  </si>
  <si>
    <t>Sulfuro</t>
  </si>
  <si>
    <t>Carmex</t>
  </si>
  <si>
    <t>13/05/26</t>
  </si>
  <si>
    <t xml:space="preserve">Erwin </t>
  </si>
  <si>
    <t>Pm</t>
  </si>
  <si>
    <t>Estéril</t>
  </si>
  <si>
    <t>1.8</t>
  </si>
  <si>
    <t>pm</t>
  </si>
  <si>
    <t xml:space="preserve">mas 15 anfo </t>
  </si>
  <si>
    <t>mas 10 anfo</t>
  </si>
  <si>
    <t>Frente</t>
  </si>
  <si>
    <t>zapatera o tiro Largo</t>
  </si>
  <si>
    <t>M4 75L31</t>
  </si>
  <si>
    <t>M4 6N</t>
  </si>
  <si>
    <t>NVL 975</t>
  </si>
  <si>
    <t>NVL 800</t>
  </si>
  <si>
    <t>M4 75</t>
  </si>
  <si>
    <t>M4 75 L32</t>
  </si>
  <si>
    <t>mas dos carmex</t>
  </si>
  <si>
    <t>H4 6N L33</t>
  </si>
  <si>
    <t xml:space="preserve">H4 7S </t>
  </si>
  <si>
    <t>H4 7S L32</t>
  </si>
  <si>
    <t>NVL 974</t>
  </si>
  <si>
    <t xml:space="preserve">1.8 y 2.4 </t>
  </si>
  <si>
    <t xml:space="preserve">1.8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</si>
</sst>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0" fillId="0" borderId="3" xfId="0" applyBorder="1"/>
    <xf numFmtId="0" fontId="0" fillId="2" borderId="0" xfId="0" applyFill="1"/>
    <xf numFmtId="14" fontId="0" fillId="0" borderId="3" xfId="0" applyNumberFormat="1" applyBorder="1"/>
    <xf numFmtId="0" fontId="1" fillId="3" borderId="1" xfId="0" applyFont="1" applyFill="1" applyBorder="1"/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5" borderId="1" xfId="0" applyFont="1" applyFill="1" applyBorder="1"/>
    <xf numFmtId="0" fontId="1" fillId="0" borderId="3" xfId="0" applyFont="1" applyBorder="1"/>
    <xf numFmtId="0" fontId="1" fillId="6" borderId="1" xfId="0" applyFont="1" applyFill="1" applyBorder="1"/>
    <xf numFmtId="2" fontId="0" fillId="0" borderId="0" xfId="0" applyNumberFormat="1"/>
    <xf numFmtId="0" fontId="0" fillId="7" borderId="3" xfId="0" applyFill="1" applyBorder="1"/>
    <xf numFmtId="0" fontId="1" fillId="7" borderId="3" xfId="0" applyFont="1" applyFill="1" applyBorder="1"/>
    <xf numFmtId="14" fontId="0" fillId="7" borderId="3" xfId="0" applyNumberFormat="1" applyFill="1" applyBorder="1"/>
    <xf numFmtId="0" fontId="1" fillId="4" borderId="1" xfId="0" applyFont="1" applyFill="1" applyBorder="1"/>
    <xf numFmtId="0" fontId="1" fillId="4" borderId="3" xfId="0" applyFont="1" applyFill="1" applyBorder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1" fillId="7" borderId="3" xfId="0" applyNumberFormat="1" applyFont="1" applyFill="1" applyBorder="1"/>
    <xf numFmtId="14" fontId="0" fillId="7" borderId="1" xfId="0" applyNumberFormat="1" applyFill="1" applyBorder="1"/>
    <xf numFmtId="0" fontId="0" fillId="7" borderId="1" xfId="0" applyFill="1" applyBorder="1"/>
    <xf numFmtId="0" fontId="1" fillId="5" borderId="7" xfId="0" applyFont="1" applyFill="1" applyBorder="1"/>
    <xf numFmtId="14" fontId="0" fillId="8" borderId="1" xfId="0" applyNumberFormat="1" applyFill="1" applyBorder="1"/>
    <xf numFmtId="14" fontId="1" fillId="8" borderId="1" xfId="0" applyNumberFormat="1" applyFont="1" applyFill="1" applyBorder="1"/>
    <xf numFmtId="0" fontId="0" fillId="8" borderId="1" xfId="0" applyFill="1" applyBorder="1"/>
    <xf numFmtId="16" fontId="1" fillId="8" borderId="1" xfId="0" applyNumberFormat="1" applyFont="1" applyFill="1" applyBorder="1"/>
    <xf numFmtId="14" fontId="0" fillId="9" borderId="1" xfId="0" applyNumberFormat="1" applyFill="1" applyBorder="1"/>
    <xf numFmtId="14" fontId="1" fillId="9" borderId="1" xfId="0" applyNumberFormat="1" applyFont="1" applyFill="1" applyBorder="1"/>
    <xf numFmtId="0" fontId="0" fillId="9" borderId="1" xfId="0" applyFill="1" applyBorder="1"/>
    <xf numFmtId="0" fontId="1" fillId="9" borderId="1" xfId="0" applyFont="1" applyFill="1" applyBorder="1"/>
    <xf numFmtId="0" fontId="1" fillId="8" borderId="1" xfId="0" applyFont="1" applyFill="1" applyBorder="1"/>
    <xf numFmtId="0" fontId="1" fillId="8" borderId="3" xfId="0" applyFont="1" applyFill="1" applyBorder="1"/>
    <xf numFmtId="0" fontId="0" fillId="8" borderId="3" xfId="0" applyFill="1" applyBorder="1"/>
    <xf numFmtId="0" fontId="1" fillId="9" borderId="3" xfId="0" applyFont="1" applyFill="1" applyBorder="1"/>
    <xf numFmtId="0" fontId="0" fillId="9" borderId="3" xfId="0" applyFill="1" applyBorder="1"/>
    <xf numFmtId="0" fontId="1" fillId="5" borderId="1" xfId="0" applyFont="1" applyFill="1" applyBorder="1" applyAlignment="1"/>
    <xf numFmtId="14" fontId="0" fillId="0" borderId="1" xfId="0" applyNumberFormat="1" applyFill="1" applyBorder="1"/>
    <xf numFmtId="14" fontId="1" fillId="0" borderId="1" xfId="0" applyNumberFormat="1" applyFont="1" applyFill="1" applyBorder="1"/>
    <xf numFmtId="0" fontId="0" fillId="0" borderId="1" xfId="0" applyFill="1" applyBorder="1"/>
    <xf numFmtId="0" fontId="1" fillId="0" borderId="1" xfId="0" applyFont="1" applyFill="1" applyBorder="1"/>
    <xf numFmtId="16" fontId="1" fillId="0" borderId="1" xfId="0" applyNumberFormat="1" applyFont="1" applyFill="1" applyBorder="1"/>
    <xf numFmtId="0" fontId="1" fillId="0" borderId="3" xfId="0" applyFont="1" applyFill="1" applyBorder="1"/>
    <xf numFmtId="0" fontId="0" fillId="0" borderId="3" xfId="0" applyFill="1" applyBorder="1"/>
    <xf numFmtId="14" fontId="0" fillId="0" borderId="3" xfId="0" applyNumberFormat="1" applyFill="1" applyBorder="1"/>
    <xf numFmtId="14" fontId="0" fillId="10" borderId="1" xfId="0" applyNumberFormat="1" applyFill="1" applyBorder="1"/>
    <xf numFmtId="0" fontId="1" fillId="10" borderId="3" xfId="0" applyFont="1" applyFill="1" applyBorder="1"/>
    <xf numFmtId="0" fontId="0" fillId="10" borderId="3" xfId="0" applyFill="1" applyBorder="1"/>
    <xf numFmtId="0" fontId="1" fillId="6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E61D-57B3-4C45-A68F-7150D45799AA}">
  <sheetPr>
    <tabColor theme="7" tint="0.39997558519241921"/>
  </sheetPr>
  <dimension ref="A1:L117"/>
  <sheetViews>
    <sheetView tabSelected="1" zoomScaleNormal="100" zoomScaleSheetLayoutView="100" workbookViewId="0">
      <selection activeCell="A105" sqref="A105"/>
    </sheetView>
  </sheetViews>
  <sheetFormatPr defaultColWidth="9.14453125" defaultRowHeight="15" x14ac:dyDescent="0.2"/>
  <cols>
    <col min="1" max="1" width="11.1640625" customWidth="1"/>
    <col min="2" max="2" width="11.02734375" customWidth="1"/>
    <col min="4" max="4" width="9.4140625" customWidth="1"/>
    <col min="8" max="8" width="10.22265625" customWidth="1"/>
    <col min="9" max="9" width="9.953125" customWidth="1"/>
    <col min="16" max="16" width="10.625" customWidth="1"/>
    <col min="19" max="19" width="9.28125" bestFit="1" customWidth="1"/>
  </cols>
  <sheetData>
    <row r="1" spans="1:12" s="3" customFormat="1" ht="31.5" customHeight="1" x14ac:dyDescent="0.35">
      <c r="A1" s="5" t="s">
        <v>6</v>
      </c>
      <c r="B1" s="4"/>
      <c r="C1" s="4"/>
      <c r="D1" s="4"/>
      <c r="E1" s="4"/>
      <c r="H1" s="69" t="s">
        <v>8</v>
      </c>
      <c r="I1" s="69"/>
      <c r="J1" s="69"/>
      <c r="K1" s="69"/>
      <c r="L1" s="69"/>
    </row>
    <row r="2" spans="1:12" x14ac:dyDescent="0.2">
      <c r="A2" s="6" t="s">
        <v>0</v>
      </c>
      <c r="B2" s="6" t="s">
        <v>2</v>
      </c>
      <c r="C2" s="6" t="s">
        <v>4</v>
      </c>
      <c r="D2" s="6" t="s">
        <v>3</v>
      </c>
      <c r="E2" s="6" t="s">
        <v>5</v>
      </c>
      <c r="H2" s="6" t="s">
        <v>0</v>
      </c>
      <c r="I2" s="6" t="s">
        <v>1</v>
      </c>
      <c r="J2" s="6" t="s">
        <v>4</v>
      </c>
      <c r="K2" s="6" t="s">
        <v>3</v>
      </c>
      <c r="L2" s="6" t="s">
        <v>9</v>
      </c>
    </row>
    <row r="3" spans="1:12" x14ac:dyDescent="0.2">
      <c r="A3" s="2">
        <v>46141</v>
      </c>
      <c r="B3" s="1">
        <v>41</v>
      </c>
      <c r="C3" s="1">
        <v>2750</v>
      </c>
      <c r="D3" s="1">
        <v>100</v>
      </c>
      <c r="E3" s="1">
        <f>IF(B3="", "", IF(AND(C3="", D3=""), B3, B3+C3-D3))</f>
        <v>2691</v>
      </c>
      <c r="H3" s="2">
        <v>46141</v>
      </c>
      <c r="I3" s="1">
        <v>78</v>
      </c>
      <c r="J3" s="1">
        <v>200</v>
      </c>
      <c r="K3" s="1">
        <v>152</v>
      </c>
      <c r="L3" s="1">
        <f>IF(I3="", "", IF(AND(J3="", K3=""), I3, I3+J3-K3))</f>
        <v>126</v>
      </c>
    </row>
    <row r="4" spans="1:12" x14ac:dyDescent="0.2">
      <c r="A4" s="2">
        <v>46142</v>
      </c>
      <c r="B4" s="1">
        <f>+IF(AND(E3=B3,C3="",D3=""),"",E3)</f>
        <v>2691</v>
      </c>
      <c r="C4" s="1"/>
      <c r="D4" s="1">
        <v>82</v>
      </c>
      <c r="E4" s="1">
        <f>IF(AND(C4="",D4=""),B4,B4+C4-D4)</f>
        <v>2609</v>
      </c>
      <c r="H4" s="2">
        <v>46142</v>
      </c>
      <c r="I4" s="1">
        <f>+IF(AND(L3=I3,J3="",K3=""),"",L3)</f>
        <v>126</v>
      </c>
      <c r="J4" s="1"/>
      <c r="K4" s="1">
        <v>30</v>
      </c>
      <c r="L4" s="1">
        <f>IF(AND(J4="",K4=""),I4,I4+J4-K4)</f>
        <v>96</v>
      </c>
    </row>
    <row r="5" spans="1:12" x14ac:dyDescent="0.2">
      <c r="A5" s="2">
        <v>46146</v>
      </c>
      <c r="B5" s="1">
        <f t="shared" ref="B5:B30" si="0">+IF(AND(E4=B4,C4="",D4=""),"",E4)</f>
        <v>2609</v>
      </c>
      <c r="C5" s="1"/>
      <c r="D5" s="1">
        <v>97</v>
      </c>
      <c r="E5" s="1">
        <f t="shared" ref="E5:E30" si="1">IF(AND(C5="",D5=""),B5,B5+C5-D5)</f>
        <v>2512</v>
      </c>
      <c r="H5" s="2" t="s">
        <v>42</v>
      </c>
      <c r="I5" s="1">
        <f t="shared" ref="I5:I30" si="2">+IF(AND(L4=I4,J4="",K4=""),"",L4)</f>
        <v>96</v>
      </c>
      <c r="J5" s="1"/>
      <c r="K5" s="1">
        <v>68</v>
      </c>
      <c r="L5" s="1">
        <f t="shared" ref="L5:L30" si="3">IF(AND(J5="",K5=""),I5,I5+J5-K5)</f>
        <v>28</v>
      </c>
    </row>
    <row r="6" spans="1:12" x14ac:dyDescent="0.2">
      <c r="A6" s="2">
        <v>46147</v>
      </c>
      <c r="B6" s="1">
        <f t="shared" si="0"/>
        <v>2512</v>
      </c>
      <c r="C6" s="1"/>
      <c r="D6" s="1">
        <v>107</v>
      </c>
      <c r="E6" s="1">
        <f t="shared" si="1"/>
        <v>2405</v>
      </c>
      <c r="H6" s="2"/>
      <c r="I6" s="1">
        <f t="shared" si="2"/>
        <v>28</v>
      </c>
      <c r="J6" s="1"/>
      <c r="K6" s="1"/>
      <c r="L6" s="1">
        <f t="shared" si="3"/>
        <v>28</v>
      </c>
    </row>
    <row r="7" spans="1:12" x14ac:dyDescent="0.2">
      <c r="A7" s="2">
        <v>46148</v>
      </c>
      <c r="B7" s="1">
        <f t="shared" si="0"/>
        <v>2405</v>
      </c>
      <c r="C7" s="1"/>
      <c r="D7" s="1">
        <v>69</v>
      </c>
      <c r="E7" s="1">
        <f t="shared" si="1"/>
        <v>2336</v>
      </c>
      <c r="H7" s="2"/>
      <c r="I7" s="1" t="str">
        <f t="shared" si="2"/>
        <v/>
      </c>
      <c r="J7" s="1"/>
      <c r="K7" s="1"/>
      <c r="L7" s="1" t="str">
        <f t="shared" si="3"/>
        <v/>
      </c>
    </row>
    <row r="8" spans="1:12" x14ac:dyDescent="0.2">
      <c r="A8" s="2">
        <v>46149</v>
      </c>
      <c r="B8" s="1">
        <f t="shared" si="0"/>
        <v>2336</v>
      </c>
      <c r="C8" s="1"/>
      <c r="D8" s="1">
        <v>81</v>
      </c>
      <c r="E8" s="1">
        <f t="shared" si="1"/>
        <v>2255</v>
      </c>
      <c r="H8" s="2"/>
      <c r="I8" s="1" t="str">
        <f t="shared" si="2"/>
        <v/>
      </c>
      <c r="J8" s="1"/>
      <c r="K8" s="1"/>
      <c r="L8" s="1" t="str">
        <f t="shared" si="3"/>
        <v/>
      </c>
    </row>
    <row r="9" spans="1:12" x14ac:dyDescent="0.2">
      <c r="A9" s="2">
        <v>46150</v>
      </c>
      <c r="B9" s="1">
        <f t="shared" si="0"/>
        <v>2255</v>
      </c>
      <c r="C9" s="1"/>
      <c r="D9" s="1">
        <v>71</v>
      </c>
      <c r="E9" s="1">
        <f t="shared" si="1"/>
        <v>2184</v>
      </c>
      <c r="H9" s="2"/>
      <c r="I9" s="1" t="str">
        <f t="shared" si="2"/>
        <v/>
      </c>
      <c r="J9" s="1"/>
      <c r="K9" s="1"/>
      <c r="L9" s="1" t="str">
        <f t="shared" si="3"/>
        <v/>
      </c>
    </row>
    <row r="10" spans="1:12" x14ac:dyDescent="0.2">
      <c r="A10" s="2">
        <v>46151</v>
      </c>
      <c r="B10" s="1">
        <f t="shared" si="0"/>
        <v>2184</v>
      </c>
      <c r="C10" s="1"/>
      <c r="D10" s="1">
        <v>49</v>
      </c>
      <c r="E10" s="1">
        <f t="shared" si="1"/>
        <v>2135</v>
      </c>
      <c r="F10" t="s">
        <v>29</v>
      </c>
      <c r="H10" s="2"/>
      <c r="I10" s="1" t="str">
        <f t="shared" si="2"/>
        <v/>
      </c>
      <c r="J10" s="1"/>
      <c r="K10" s="1"/>
      <c r="L10" s="1" t="str">
        <f t="shared" si="3"/>
        <v/>
      </c>
    </row>
    <row r="11" spans="1:12" x14ac:dyDescent="0.2">
      <c r="A11" s="2">
        <v>45788</v>
      </c>
      <c r="B11" s="1">
        <f t="shared" si="0"/>
        <v>2135</v>
      </c>
      <c r="C11" s="1"/>
      <c r="D11" s="1">
        <v>89</v>
      </c>
      <c r="E11" s="1">
        <f t="shared" si="1"/>
        <v>2046</v>
      </c>
      <c r="H11" s="12"/>
      <c r="I11" s="1" t="str">
        <f t="shared" si="2"/>
        <v/>
      </c>
      <c r="J11" s="10"/>
      <c r="K11" s="10"/>
      <c r="L11" s="1" t="str">
        <f t="shared" si="3"/>
        <v/>
      </c>
    </row>
    <row r="12" spans="1:12" x14ac:dyDescent="0.2">
      <c r="A12" s="2">
        <v>45789</v>
      </c>
      <c r="B12" s="1">
        <f t="shared" si="0"/>
        <v>2046</v>
      </c>
      <c r="C12" s="1"/>
      <c r="D12" s="1">
        <v>127</v>
      </c>
      <c r="E12" s="1">
        <f t="shared" si="1"/>
        <v>1919</v>
      </c>
      <c r="H12" s="12"/>
      <c r="I12" s="1" t="str">
        <f t="shared" si="2"/>
        <v/>
      </c>
      <c r="J12" s="10"/>
      <c r="K12" s="10"/>
      <c r="L12" s="1" t="str">
        <f t="shared" si="3"/>
        <v/>
      </c>
    </row>
    <row r="13" spans="1:12" x14ac:dyDescent="0.2">
      <c r="A13" s="2">
        <v>46155</v>
      </c>
      <c r="B13" s="1">
        <f t="shared" si="0"/>
        <v>1919</v>
      </c>
      <c r="C13" s="1"/>
      <c r="D13" s="1">
        <v>239</v>
      </c>
      <c r="E13" s="1">
        <f t="shared" si="1"/>
        <v>1680</v>
      </c>
      <c r="H13" s="2"/>
      <c r="I13" s="1" t="str">
        <f t="shared" si="2"/>
        <v/>
      </c>
      <c r="J13" s="1"/>
      <c r="K13" s="1"/>
      <c r="L13" s="1" t="str">
        <f t="shared" si="3"/>
        <v/>
      </c>
    </row>
    <row r="14" spans="1:12" x14ac:dyDescent="0.2">
      <c r="A14" s="2">
        <v>46156</v>
      </c>
      <c r="B14" s="1">
        <f t="shared" si="0"/>
        <v>1680</v>
      </c>
      <c r="C14" s="1"/>
      <c r="D14" s="1">
        <v>55</v>
      </c>
      <c r="E14" s="1">
        <f t="shared" si="1"/>
        <v>1625</v>
      </c>
      <c r="H14" s="2"/>
      <c r="I14" s="1" t="str">
        <f t="shared" si="2"/>
        <v/>
      </c>
      <c r="J14" s="1"/>
      <c r="K14" s="1"/>
      <c r="L14" s="1" t="str">
        <f t="shared" si="3"/>
        <v/>
      </c>
    </row>
    <row r="15" spans="1:12" x14ac:dyDescent="0.2">
      <c r="A15" s="12">
        <v>46157</v>
      </c>
      <c r="B15" s="1">
        <f t="shared" si="0"/>
        <v>1625</v>
      </c>
      <c r="C15" s="10"/>
      <c r="D15" s="10">
        <v>20</v>
      </c>
      <c r="E15" s="1">
        <f t="shared" si="1"/>
        <v>1605</v>
      </c>
      <c r="H15" s="12"/>
      <c r="I15" s="1" t="str">
        <f t="shared" si="2"/>
        <v/>
      </c>
      <c r="J15" s="10"/>
      <c r="K15" s="10"/>
      <c r="L15" s="1" t="str">
        <f t="shared" si="3"/>
        <v/>
      </c>
    </row>
    <row r="16" spans="1:12" x14ac:dyDescent="0.2">
      <c r="A16" s="12">
        <v>46158</v>
      </c>
      <c r="B16" s="1">
        <f t="shared" si="0"/>
        <v>1605</v>
      </c>
      <c r="C16" s="10"/>
      <c r="D16" s="10">
        <v>86</v>
      </c>
      <c r="E16" s="1">
        <f t="shared" si="1"/>
        <v>1519</v>
      </c>
      <c r="H16" s="12"/>
      <c r="I16" s="1" t="str">
        <f t="shared" si="2"/>
        <v/>
      </c>
      <c r="J16" s="10"/>
      <c r="K16" s="10"/>
      <c r="L16" s="1" t="str">
        <f t="shared" si="3"/>
        <v/>
      </c>
    </row>
    <row r="17" spans="1:12" x14ac:dyDescent="0.2">
      <c r="A17" s="12">
        <v>46160</v>
      </c>
      <c r="B17" s="1">
        <f t="shared" si="0"/>
        <v>1519</v>
      </c>
      <c r="C17" s="10"/>
      <c r="D17" s="10">
        <v>114</v>
      </c>
      <c r="E17" s="1">
        <f t="shared" si="1"/>
        <v>1405</v>
      </c>
      <c r="H17" s="12"/>
      <c r="I17" s="1" t="str">
        <f t="shared" si="2"/>
        <v/>
      </c>
      <c r="J17" s="10"/>
      <c r="K17" s="10"/>
      <c r="L17" s="1" t="str">
        <f t="shared" si="3"/>
        <v/>
      </c>
    </row>
    <row r="18" spans="1:12" x14ac:dyDescent="0.2">
      <c r="A18" s="12">
        <v>46161</v>
      </c>
      <c r="B18" s="1">
        <f t="shared" si="0"/>
        <v>1405</v>
      </c>
      <c r="C18" s="10"/>
      <c r="D18" s="10">
        <v>103</v>
      </c>
      <c r="E18" s="1">
        <f t="shared" si="1"/>
        <v>1302</v>
      </c>
      <c r="H18" s="12"/>
      <c r="I18" s="1" t="str">
        <f t="shared" si="2"/>
        <v/>
      </c>
      <c r="J18" s="10"/>
      <c r="K18" s="10"/>
      <c r="L18" s="1" t="str">
        <f t="shared" si="3"/>
        <v/>
      </c>
    </row>
    <row r="19" spans="1:12" x14ac:dyDescent="0.2">
      <c r="A19" s="12">
        <v>46162</v>
      </c>
      <c r="B19" s="1">
        <f t="shared" si="0"/>
        <v>1302</v>
      </c>
      <c r="C19" s="10"/>
      <c r="D19" s="10">
        <v>103</v>
      </c>
      <c r="E19" s="1">
        <f t="shared" si="1"/>
        <v>1199</v>
      </c>
      <c r="H19" s="12"/>
      <c r="I19" s="1" t="str">
        <f t="shared" si="2"/>
        <v/>
      </c>
      <c r="J19" s="10"/>
      <c r="K19" s="10"/>
      <c r="L19" s="1" t="str">
        <f t="shared" si="3"/>
        <v/>
      </c>
    </row>
    <row r="20" spans="1:12" x14ac:dyDescent="0.2">
      <c r="A20" s="12">
        <v>46163</v>
      </c>
      <c r="B20" s="1">
        <f t="shared" si="0"/>
        <v>1199</v>
      </c>
      <c r="C20" s="10"/>
      <c r="D20" s="10">
        <v>85</v>
      </c>
      <c r="E20" s="1">
        <f t="shared" si="1"/>
        <v>1114</v>
      </c>
      <c r="H20" s="12"/>
      <c r="I20" s="1" t="str">
        <f t="shared" si="2"/>
        <v/>
      </c>
      <c r="J20" s="10"/>
      <c r="K20" s="10"/>
      <c r="L20" s="1" t="str">
        <f t="shared" si="3"/>
        <v/>
      </c>
    </row>
    <row r="21" spans="1:12" x14ac:dyDescent="0.2">
      <c r="A21" s="12"/>
      <c r="B21" s="1">
        <f t="shared" si="0"/>
        <v>1114</v>
      </c>
      <c r="C21" s="10"/>
      <c r="D21" s="10"/>
      <c r="E21" s="1">
        <f t="shared" si="1"/>
        <v>1114</v>
      </c>
      <c r="H21" s="12"/>
      <c r="I21" s="1" t="str">
        <f t="shared" si="2"/>
        <v/>
      </c>
      <c r="J21" s="10"/>
      <c r="K21" s="10"/>
      <c r="L21" s="1" t="str">
        <f t="shared" si="3"/>
        <v/>
      </c>
    </row>
    <row r="22" spans="1:12" x14ac:dyDescent="0.2">
      <c r="A22" s="12"/>
      <c r="B22" s="1" t="str">
        <f t="shared" si="0"/>
        <v/>
      </c>
      <c r="C22" s="10"/>
      <c r="D22" s="10"/>
      <c r="E22" s="1" t="str">
        <f t="shared" si="1"/>
        <v/>
      </c>
      <c r="H22" s="12"/>
      <c r="I22" s="1" t="str">
        <f t="shared" si="2"/>
        <v/>
      </c>
      <c r="J22" s="10"/>
      <c r="K22" s="10"/>
      <c r="L22" s="1" t="str">
        <f t="shared" si="3"/>
        <v/>
      </c>
    </row>
    <row r="23" spans="1:12" x14ac:dyDescent="0.2">
      <c r="A23" s="12"/>
      <c r="B23" s="1" t="str">
        <f t="shared" si="0"/>
        <v/>
      </c>
      <c r="C23" s="10"/>
      <c r="D23" s="10"/>
      <c r="E23" s="1" t="str">
        <f t="shared" si="1"/>
        <v/>
      </c>
      <c r="H23" s="12"/>
      <c r="I23" s="1" t="str">
        <f t="shared" si="2"/>
        <v/>
      </c>
      <c r="J23" s="10"/>
      <c r="K23" s="10"/>
      <c r="L23" s="1" t="str">
        <f t="shared" si="3"/>
        <v/>
      </c>
    </row>
    <row r="24" spans="1:12" x14ac:dyDescent="0.2">
      <c r="A24" s="12"/>
      <c r="B24" s="1" t="str">
        <f t="shared" si="0"/>
        <v/>
      </c>
      <c r="C24" s="10"/>
      <c r="D24" s="10"/>
      <c r="E24" s="1" t="str">
        <f t="shared" si="1"/>
        <v/>
      </c>
      <c r="H24" s="12"/>
      <c r="I24" s="1" t="str">
        <f t="shared" si="2"/>
        <v/>
      </c>
      <c r="J24" s="10"/>
      <c r="K24" s="10"/>
      <c r="L24" s="1" t="str">
        <f t="shared" si="3"/>
        <v/>
      </c>
    </row>
    <row r="25" spans="1:12" x14ac:dyDescent="0.2">
      <c r="A25" s="12"/>
      <c r="B25" s="1" t="str">
        <f t="shared" si="0"/>
        <v/>
      </c>
      <c r="C25" s="10"/>
      <c r="D25" s="10"/>
      <c r="E25" s="1" t="str">
        <f t="shared" si="1"/>
        <v/>
      </c>
      <c r="H25" s="12"/>
      <c r="I25" s="1" t="str">
        <f t="shared" si="2"/>
        <v/>
      </c>
      <c r="J25" s="10"/>
      <c r="K25" s="10"/>
      <c r="L25" s="1" t="str">
        <f t="shared" si="3"/>
        <v/>
      </c>
    </row>
    <row r="26" spans="1:12" x14ac:dyDescent="0.2">
      <c r="A26" s="12"/>
      <c r="B26" s="1" t="str">
        <f t="shared" si="0"/>
        <v/>
      </c>
      <c r="C26" s="10"/>
      <c r="D26" s="10"/>
      <c r="E26" s="1" t="str">
        <f t="shared" si="1"/>
        <v/>
      </c>
      <c r="H26" s="12"/>
      <c r="I26" s="1" t="str">
        <f t="shared" si="2"/>
        <v/>
      </c>
      <c r="J26" s="10"/>
      <c r="K26" s="10"/>
      <c r="L26" s="1" t="str">
        <f t="shared" si="3"/>
        <v/>
      </c>
    </row>
    <row r="27" spans="1:12" x14ac:dyDescent="0.2">
      <c r="A27" s="12"/>
      <c r="B27" s="1" t="str">
        <f t="shared" si="0"/>
        <v/>
      </c>
      <c r="C27" s="10"/>
      <c r="D27" s="10"/>
      <c r="E27" s="1" t="str">
        <f t="shared" si="1"/>
        <v/>
      </c>
      <c r="H27" s="12"/>
      <c r="I27" s="1" t="str">
        <f t="shared" si="2"/>
        <v/>
      </c>
      <c r="J27" s="10"/>
      <c r="K27" s="10"/>
      <c r="L27" s="1" t="str">
        <f t="shared" si="3"/>
        <v/>
      </c>
    </row>
    <row r="28" spans="1:12" x14ac:dyDescent="0.2">
      <c r="A28" s="12"/>
      <c r="B28" s="1" t="str">
        <f t="shared" si="0"/>
        <v/>
      </c>
      <c r="C28" s="10"/>
      <c r="D28" s="10"/>
      <c r="E28" s="1" t="str">
        <f t="shared" si="1"/>
        <v/>
      </c>
      <c r="H28" s="12"/>
      <c r="I28" s="1" t="str">
        <f t="shared" si="2"/>
        <v/>
      </c>
      <c r="J28" s="10"/>
      <c r="K28" s="10"/>
      <c r="L28" s="1" t="str">
        <f t="shared" si="3"/>
        <v/>
      </c>
    </row>
    <row r="29" spans="1:12" x14ac:dyDescent="0.2">
      <c r="A29" s="12"/>
      <c r="B29" s="1" t="str">
        <f t="shared" si="0"/>
        <v/>
      </c>
      <c r="C29" s="10"/>
      <c r="D29" s="10"/>
      <c r="E29" s="1" t="str">
        <f t="shared" si="1"/>
        <v/>
      </c>
      <c r="H29" s="12"/>
      <c r="I29" s="1" t="str">
        <f t="shared" si="2"/>
        <v/>
      </c>
      <c r="J29" s="10"/>
      <c r="K29" s="10"/>
      <c r="L29" s="1" t="str">
        <f t="shared" si="3"/>
        <v/>
      </c>
    </row>
    <row r="30" spans="1:12" x14ac:dyDescent="0.2">
      <c r="A30" s="10"/>
      <c r="B30" s="1" t="str">
        <f t="shared" si="0"/>
        <v/>
      </c>
      <c r="C30" s="10"/>
      <c r="D30" s="10"/>
      <c r="E30" s="1" t="str">
        <f t="shared" si="1"/>
        <v/>
      </c>
      <c r="H30" s="10"/>
      <c r="I30" s="1" t="str">
        <f t="shared" si="2"/>
        <v/>
      </c>
      <c r="J30" s="10"/>
      <c r="K30" s="10"/>
      <c r="L30" s="1" t="str">
        <f t="shared" si="3"/>
        <v/>
      </c>
    </row>
    <row r="31" spans="1:12" x14ac:dyDescent="0.2">
      <c r="A31" s="64" t="s">
        <v>13</v>
      </c>
      <c r="B31" s="71"/>
      <c r="C31" s="65"/>
      <c r="D31" s="64">
        <f>SUM(D3:D30)</f>
        <v>1677</v>
      </c>
      <c r="E31" s="65"/>
      <c r="H31" s="64" t="s">
        <v>14</v>
      </c>
      <c r="I31" s="71"/>
      <c r="J31" s="65"/>
      <c r="K31" s="64">
        <f>SUM(K3:K30)</f>
        <v>250</v>
      </c>
      <c r="L31" s="65"/>
    </row>
    <row r="32" spans="1:12" x14ac:dyDescent="0.2">
      <c r="A32" s="70" t="s">
        <v>12</v>
      </c>
      <c r="B32" s="70"/>
      <c r="C32" s="70"/>
      <c r="D32" s="70"/>
      <c r="E32" s="13">
        <f>+COUNTA(A3:A30)</f>
        <v>18</v>
      </c>
      <c r="H32" s="70" t="s">
        <v>12</v>
      </c>
      <c r="I32" s="70"/>
      <c r="J32" s="70"/>
      <c r="K32" s="70"/>
      <c r="L32" s="13">
        <f>+COUNTA(H3:H30)</f>
        <v>3</v>
      </c>
    </row>
    <row r="36" spans="1:12" ht="27" customHeight="1" x14ac:dyDescent="0.2">
      <c r="A36" s="7" t="s">
        <v>7</v>
      </c>
      <c r="B36" s="7"/>
      <c r="C36" s="7"/>
      <c r="D36" s="7"/>
      <c r="E36" s="7"/>
      <c r="H36" s="9" t="s">
        <v>10</v>
      </c>
      <c r="I36" s="11"/>
      <c r="J36" s="11"/>
      <c r="K36" s="11"/>
      <c r="L36" s="11"/>
    </row>
    <row r="37" spans="1:12" x14ac:dyDescent="0.2">
      <c r="A37" s="6" t="s">
        <v>0</v>
      </c>
      <c r="B37" s="6" t="s">
        <v>1</v>
      </c>
      <c r="C37" s="6" t="s">
        <v>4</v>
      </c>
      <c r="D37" s="6" t="s">
        <v>3</v>
      </c>
      <c r="E37" s="6" t="s">
        <v>5</v>
      </c>
      <c r="H37" s="6" t="s">
        <v>0</v>
      </c>
      <c r="I37" s="6" t="s">
        <v>2</v>
      </c>
      <c r="J37" s="6" t="s">
        <v>4</v>
      </c>
      <c r="K37" s="6" t="s">
        <v>3</v>
      </c>
      <c r="L37" s="6" t="s">
        <v>9</v>
      </c>
    </row>
    <row r="38" spans="1:12" x14ac:dyDescent="0.2">
      <c r="A38" s="2">
        <v>46141</v>
      </c>
      <c r="B38" s="1">
        <v>176</v>
      </c>
      <c r="C38" s="1">
        <v>2310</v>
      </c>
      <c r="D38" s="1">
        <v>76</v>
      </c>
      <c r="E38" s="1">
        <f>IF(B38="", "", IF(AND(C38="", D38=""), B38, B38+C38-D38))</f>
        <v>2410</v>
      </c>
      <c r="H38" s="2">
        <v>46141</v>
      </c>
      <c r="I38" s="1">
        <v>1272</v>
      </c>
      <c r="J38" s="1">
        <v>1000</v>
      </c>
      <c r="K38" s="1">
        <v>456</v>
      </c>
      <c r="L38" s="1">
        <f>IF(I38="", "", IF(AND(J38="", K38=""), I38, I38+J38-K38))</f>
        <v>1816</v>
      </c>
    </row>
    <row r="39" spans="1:12" x14ac:dyDescent="0.2">
      <c r="A39" s="2">
        <v>46142</v>
      </c>
      <c r="B39" s="1">
        <f>+IF(AND(E38=B38,C38="",D38=""),"",E38)</f>
        <v>2410</v>
      </c>
      <c r="C39" s="1"/>
      <c r="D39" s="1">
        <v>61</v>
      </c>
      <c r="E39" s="1">
        <f t="shared" ref="E39:E62" si="4">IF(B39="", "", IF(AND(C39="", D39=""), B39, B39+C39-D39))</f>
        <v>2349</v>
      </c>
      <c r="H39" s="2">
        <v>46142</v>
      </c>
      <c r="I39" s="1">
        <f>+IF(AND(L38=I38,J38="",K38=""),"",L38)</f>
        <v>1816</v>
      </c>
      <c r="J39" s="1"/>
      <c r="K39" s="1">
        <v>90</v>
      </c>
      <c r="L39" s="1">
        <f t="shared" ref="L39:L42" si="5">IF(I39="", "", IF(AND(J39="", K39=""), I39, I39+J39-K39))</f>
        <v>1726</v>
      </c>
    </row>
    <row r="40" spans="1:12" x14ac:dyDescent="0.2">
      <c r="A40" s="2">
        <v>46146</v>
      </c>
      <c r="B40" s="1">
        <f t="shared" ref="B40:B65" si="6">+IF(AND(E39=B39,C39="",D39=""),"",E39)</f>
        <v>2349</v>
      </c>
      <c r="C40" s="1"/>
      <c r="D40" s="1">
        <v>65</v>
      </c>
      <c r="E40" s="1">
        <f t="shared" si="4"/>
        <v>2284</v>
      </c>
      <c r="H40" s="2">
        <v>46155</v>
      </c>
      <c r="I40" s="1">
        <f t="shared" ref="I40:I62" si="7">+IF(AND(L39=I39,J39="",K39=""),"",L39)</f>
        <v>1726</v>
      </c>
      <c r="J40" s="1"/>
      <c r="K40" s="1">
        <v>1376</v>
      </c>
      <c r="L40" s="1">
        <f t="shared" si="5"/>
        <v>350</v>
      </c>
    </row>
    <row r="41" spans="1:12" x14ac:dyDescent="0.2">
      <c r="A41" s="2">
        <v>46147</v>
      </c>
      <c r="B41" s="1">
        <f t="shared" si="6"/>
        <v>2284</v>
      </c>
      <c r="C41" s="1"/>
      <c r="D41" s="1">
        <v>72.5</v>
      </c>
      <c r="E41" s="1">
        <f t="shared" si="4"/>
        <v>2211.5</v>
      </c>
      <c r="H41" s="2"/>
      <c r="I41" s="1">
        <f t="shared" si="7"/>
        <v>350</v>
      </c>
      <c r="J41" s="1"/>
      <c r="K41" s="1"/>
      <c r="L41" s="1">
        <f t="shared" si="5"/>
        <v>350</v>
      </c>
    </row>
    <row r="42" spans="1:12" x14ac:dyDescent="0.2">
      <c r="A42" s="2">
        <v>46148</v>
      </c>
      <c r="B42" s="1">
        <f t="shared" si="6"/>
        <v>2211.5</v>
      </c>
      <c r="C42" s="1"/>
      <c r="D42" s="1">
        <v>50</v>
      </c>
      <c r="E42" s="1">
        <f t="shared" si="4"/>
        <v>2161.5</v>
      </c>
      <c r="H42" s="2"/>
      <c r="I42" s="1" t="str">
        <f t="shared" si="7"/>
        <v/>
      </c>
      <c r="J42" s="1"/>
      <c r="K42" s="1"/>
      <c r="L42" s="1" t="str">
        <f t="shared" si="5"/>
        <v/>
      </c>
    </row>
    <row r="43" spans="1:12" x14ac:dyDescent="0.2">
      <c r="A43" s="2">
        <v>46149</v>
      </c>
      <c r="B43" s="1">
        <f t="shared" si="6"/>
        <v>2161.5</v>
      </c>
      <c r="C43" s="1"/>
      <c r="D43" s="1">
        <v>61</v>
      </c>
      <c r="E43" s="1">
        <f t="shared" si="4"/>
        <v>2100.5</v>
      </c>
      <c r="H43" s="2"/>
      <c r="I43" s="1" t="str">
        <f t="shared" si="7"/>
        <v/>
      </c>
      <c r="J43" s="1"/>
      <c r="K43" s="1"/>
      <c r="L43" s="1" t="str">
        <f t="shared" ref="L43:L46" si="8">IF(I43="", "", IF(AND(J43="", K43=""), I43, I43+J43-K43))</f>
        <v/>
      </c>
    </row>
    <row r="44" spans="1:12" x14ac:dyDescent="0.2">
      <c r="A44" s="2">
        <v>46150</v>
      </c>
      <c r="B44" s="1">
        <f t="shared" si="6"/>
        <v>2100.5</v>
      </c>
      <c r="C44" s="1"/>
      <c r="D44" s="1">
        <v>50</v>
      </c>
      <c r="E44" s="1">
        <f t="shared" si="4"/>
        <v>2050.5</v>
      </c>
      <c r="H44" s="2"/>
      <c r="I44" s="1" t="str">
        <f t="shared" si="7"/>
        <v/>
      </c>
      <c r="J44" s="1"/>
      <c r="K44" s="1"/>
      <c r="L44" s="1" t="str">
        <f t="shared" si="8"/>
        <v/>
      </c>
    </row>
    <row r="45" spans="1:12" x14ac:dyDescent="0.2">
      <c r="A45" s="2">
        <v>46151</v>
      </c>
      <c r="B45" s="1">
        <f t="shared" si="6"/>
        <v>2050.5</v>
      </c>
      <c r="C45" s="1"/>
      <c r="D45" s="1">
        <v>41.5</v>
      </c>
      <c r="E45" s="1">
        <f t="shared" si="4"/>
        <v>2009</v>
      </c>
      <c r="H45" s="2"/>
      <c r="I45" s="1" t="str">
        <f t="shared" si="7"/>
        <v/>
      </c>
      <c r="J45" s="1"/>
      <c r="K45" s="1"/>
      <c r="L45" s="1" t="str">
        <f t="shared" si="8"/>
        <v/>
      </c>
    </row>
    <row r="46" spans="1:12" x14ac:dyDescent="0.2">
      <c r="A46" s="2">
        <v>46153</v>
      </c>
      <c r="B46" s="1">
        <f t="shared" si="6"/>
        <v>2009</v>
      </c>
      <c r="C46" s="1"/>
      <c r="D46" s="1">
        <v>72.5</v>
      </c>
      <c r="E46" s="1">
        <f t="shared" si="4"/>
        <v>1936.5</v>
      </c>
      <c r="H46" s="2"/>
      <c r="I46" s="1" t="str">
        <f t="shared" si="7"/>
        <v/>
      </c>
      <c r="J46" s="1"/>
      <c r="K46" s="1"/>
      <c r="L46" s="1" t="str">
        <f t="shared" si="8"/>
        <v/>
      </c>
    </row>
    <row r="47" spans="1:12" x14ac:dyDescent="0.2">
      <c r="A47" s="2">
        <v>46154</v>
      </c>
      <c r="B47" s="1">
        <f t="shared" si="6"/>
        <v>1936.5</v>
      </c>
      <c r="C47" s="1"/>
      <c r="D47" s="1">
        <v>97</v>
      </c>
      <c r="E47" s="1">
        <f t="shared" si="4"/>
        <v>1839.5</v>
      </c>
      <c r="H47" s="2"/>
      <c r="I47" s="1" t="str">
        <f t="shared" si="7"/>
        <v/>
      </c>
      <c r="J47" s="1"/>
      <c r="K47" s="1"/>
      <c r="L47" s="1" t="str">
        <f t="shared" ref="L47:L65" si="9">IF(I47="", "", IF(AND(J47="", K47=""), I47, I47+J47-K47))</f>
        <v/>
      </c>
    </row>
    <row r="48" spans="1:12" x14ac:dyDescent="0.2">
      <c r="A48" s="2">
        <v>46155</v>
      </c>
      <c r="B48" s="1">
        <f t="shared" si="6"/>
        <v>1839.5</v>
      </c>
      <c r="C48" s="1"/>
      <c r="D48" s="1">
        <v>144</v>
      </c>
      <c r="E48" s="1">
        <f t="shared" si="4"/>
        <v>1695.5</v>
      </c>
      <c r="H48" s="2"/>
      <c r="I48" s="1" t="str">
        <f t="shared" si="7"/>
        <v/>
      </c>
      <c r="J48" s="1"/>
      <c r="K48" s="1"/>
      <c r="L48" s="1" t="str">
        <f t="shared" si="9"/>
        <v/>
      </c>
    </row>
    <row r="49" spans="1:12" x14ac:dyDescent="0.2">
      <c r="A49" s="2">
        <v>46156</v>
      </c>
      <c r="B49" s="1">
        <f t="shared" si="6"/>
        <v>1695.5</v>
      </c>
      <c r="C49" s="1"/>
      <c r="D49" s="1">
        <v>56.5</v>
      </c>
      <c r="E49" s="1">
        <f t="shared" si="4"/>
        <v>1639</v>
      </c>
      <c r="H49" s="2"/>
      <c r="I49" s="1" t="str">
        <f t="shared" si="7"/>
        <v/>
      </c>
      <c r="J49" s="1"/>
      <c r="K49" s="1"/>
      <c r="L49" s="1" t="str">
        <f t="shared" si="9"/>
        <v/>
      </c>
    </row>
    <row r="50" spans="1:12" x14ac:dyDescent="0.2">
      <c r="A50" s="2">
        <v>46157</v>
      </c>
      <c r="B50" s="1">
        <f t="shared" si="6"/>
        <v>1639</v>
      </c>
      <c r="C50" s="1"/>
      <c r="D50" s="1">
        <v>20</v>
      </c>
      <c r="E50" s="1">
        <f t="shared" si="4"/>
        <v>1619</v>
      </c>
      <c r="H50" s="2"/>
      <c r="I50" s="1" t="str">
        <f t="shared" si="7"/>
        <v/>
      </c>
      <c r="J50" s="1"/>
      <c r="K50" s="1"/>
      <c r="L50" s="1" t="str">
        <f t="shared" si="9"/>
        <v/>
      </c>
    </row>
    <row r="51" spans="1:12" x14ac:dyDescent="0.2">
      <c r="A51" s="2">
        <v>46158</v>
      </c>
      <c r="B51" s="1">
        <f t="shared" si="6"/>
        <v>1619</v>
      </c>
      <c r="C51" s="1"/>
      <c r="D51" s="1">
        <v>65</v>
      </c>
      <c r="E51" s="1">
        <f t="shared" si="4"/>
        <v>1554</v>
      </c>
      <c r="H51" s="2"/>
      <c r="I51" s="1" t="str">
        <f t="shared" si="7"/>
        <v/>
      </c>
      <c r="J51" s="1"/>
      <c r="K51" s="1"/>
      <c r="L51" s="1" t="str">
        <f t="shared" si="9"/>
        <v/>
      </c>
    </row>
    <row r="52" spans="1:12" x14ac:dyDescent="0.2">
      <c r="A52" s="12">
        <v>46160</v>
      </c>
      <c r="B52" s="1">
        <f t="shared" si="6"/>
        <v>1554</v>
      </c>
      <c r="C52" s="10"/>
      <c r="D52" s="10">
        <v>82.5</v>
      </c>
      <c r="E52" s="1">
        <f t="shared" si="4"/>
        <v>1471.5</v>
      </c>
      <c r="H52" s="12"/>
      <c r="I52" s="1" t="str">
        <f t="shared" si="7"/>
        <v/>
      </c>
      <c r="J52" s="10"/>
      <c r="K52" s="10"/>
      <c r="L52" s="1" t="str">
        <f t="shared" si="9"/>
        <v/>
      </c>
    </row>
    <row r="53" spans="1:12" x14ac:dyDescent="0.2">
      <c r="A53" s="12">
        <v>46161</v>
      </c>
      <c r="B53" s="1">
        <f t="shared" si="6"/>
        <v>1471.5</v>
      </c>
      <c r="C53" s="10"/>
      <c r="D53" s="10">
        <v>78.5</v>
      </c>
      <c r="E53" s="1">
        <f t="shared" si="4"/>
        <v>1393</v>
      </c>
      <c r="H53" s="12"/>
      <c r="I53" s="1" t="str">
        <f t="shared" si="7"/>
        <v/>
      </c>
      <c r="J53" s="10"/>
      <c r="K53" s="10"/>
      <c r="L53" s="1" t="str">
        <f t="shared" si="9"/>
        <v/>
      </c>
    </row>
    <row r="54" spans="1:12" x14ac:dyDescent="0.2">
      <c r="A54" s="12">
        <v>46162</v>
      </c>
      <c r="B54" s="1">
        <f t="shared" si="6"/>
        <v>1393</v>
      </c>
      <c r="C54" s="10"/>
      <c r="D54" s="10">
        <v>77.5</v>
      </c>
      <c r="E54" s="1">
        <f t="shared" si="4"/>
        <v>1315.5</v>
      </c>
      <c r="H54" s="12"/>
      <c r="I54" s="1" t="str">
        <f t="shared" si="7"/>
        <v/>
      </c>
      <c r="J54" s="10"/>
      <c r="K54" s="10"/>
      <c r="L54" s="1" t="str">
        <f t="shared" si="9"/>
        <v/>
      </c>
    </row>
    <row r="55" spans="1:12" x14ac:dyDescent="0.2">
      <c r="A55" s="12">
        <v>46163</v>
      </c>
      <c r="B55" s="1">
        <f t="shared" si="6"/>
        <v>1315.5</v>
      </c>
      <c r="C55" s="10"/>
      <c r="D55" s="10">
        <v>60</v>
      </c>
      <c r="E55" s="1">
        <f t="shared" si="4"/>
        <v>1255.5</v>
      </c>
      <c r="H55" s="12"/>
      <c r="I55" s="1" t="str">
        <f t="shared" si="7"/>
        <v/>
      </c>
      <c r="J55" s="10"/>
      <c r="K55" s="10"/>
      <c r="L55" s="1" t="str">
        <f t="shared" si="9"/>
        <v/>
      </c>
    </row>
    <row r="56" spans="1:12" x14ac:dyDescent="0.2">
      <c r="A56" s="12"/>
      <c r="B56" s="1">
        <f t="shared" si="6"/>
        <v>1255.5</v>
      </c>
      <c r="C56" s="10"/>
      <c r="D56" s="10"/>
      <c r="E56" s="1">
        <f t="shared" si="4"/>
        <v>1255.5</v>
      </c>
      <c r="H56" s="12"/>
      <c r="I56" s="1" t="str">
        <f t="shared" si="7"/>
        <v/>
      </c>
      <c r="J56" s="10"/>
      <c r="K56" s="10"/>
      <c r="L56" s="1" t="str">
        <f t="shared" si="9"/>
        <v/>
      </c>
    </row>
    <row r="57" spans="1:12" x14ac:dyDescent="0.2">
      <c r="A57" s="12"/>
      <c r="B57" s="1" t="str">
        <f t="shared" si="6"/>
        <v/>
      </c>
      <c r="C57" s="10"/>
      <c r="D57" s="10"/>
      <c r="E57" s="1" t="str">
        <f t="shared" si="4"/>
        <v/>
      </c>
      <c r="H57" s="12"/>
      <c r="I57" s="1" t="str">
        <f t="shared" si="7"/>
        <v/>
      </c>
      <c r="J57" s="10"/>
      <c r="K57" s="10"/>
      <c r="L57" s="1" t="str">
        <f t="shared" si="9"/>
        <v/>
      </c>
    </row>
    <row r="58" spans="1:12" x14ac:dyDescent="0.2">
      <c r="A58" s="12"/>
      <c r="B58" s="1" t="str">
        <f t="shared" si="6"/>
        <v/>
      </c>
      <c r="C58" s="10"/>
      <c r="D58" s="10"/>
      <c r="E58" s="1" t="str">
        <f t="shared" si="4"/>
        <v/>
      </c>
      <c r="H58" s="12"/>
      <c r="I58" s="1" t="str">
        <f t="shared" si="7"/>
        <v/>
      </c>
      <c r="J58" s="10"/>
      <c r="K58" s="10"/>
      <c r="L58" s="1" t="str">
        <f t="shared" si="9"/>
        <v/>
      </c>
    </row>
    <row r="59" spans="1:12" x14ac:dyDescent="0.2">
      <c r="A59" s="12"/>
      <c r="B59" s="1" t="str">
        <f t="shared" si="6"/>
        <v/>
      </c>
      <c r="C59" s="10"/>
      <c r="D59" s="10"/>
      <c r="E59" s="1" t="str">
        <f t="shared" si="4"/>
        <v/>
      </c>
      <c r="H59" s="12"/>
      <c r="I59" s="1" t="str">
        <f t="shared" si="7"/>
        <v/>
      </c>
      <c r="J59" s="10"/>
      <c r="K59" s="10"/>
      <c r="L59" s="1" t="str">
        <f t="shared" si="9"/>
        <v/>
      </c>
    </row>
    <row r="60" spans="1:12" x14ac:dyDescent="0.2">
      <c r="A60" s="12"/>
      <c r="B60" s="1" t="str">
        <f t="shared" si="6"/>
        <v/>
      </c>
      <c r="C60" s="10"/>
      <c r="D60" s="10"/>
      <c r="E60" s="1" t="str">
        <f t="shared" si="4"/>
        <v/>
      </c>
      <c r="H60" s="12"/>
      <c r="I60" s="1" t="str">
        <f t="shared" si="7"/>
        <v/>
      </c>
      <c r="J60" s="10"/>
      <c r="K60" s="10"/>
      <c r="L60" s="1" t="str">
        <f t="shared" si="9"/>
        <v/>
      </c>
    </row>
    <row r="61" spans="1:12" x14ac:dyDescent="0.2">
      <c r="A61" s="12"/>
      <c r="B61" s="1" t="str">
        <f t="shared" si="6"/>
        <v/>
      </c>
      <c r="C61" s="10"/>
      <c r="D61" s="10"/>
      <c r="E61" s="1" t="str">
        <f t="shared" si="4"/>
        <v/>
      </c>
      <c r="H61" s="12"/>
      <c r="I61" s="1" t="str">
        <f t="shared" si="7"/>
        <v/>
      </c>
      <c r="J61" s="10"/>
      <c r="K61" s="10"/>
      <c r="L61" s="1" t="str">
        <f t="shared" si="9"/>
        <v/>
      </c>
    </row>
    <row r="62" spans="1:12" x14ac:dyDescent="0.2">
      <c r="A62" s="12"/>
      <c r="B62" s="1" t="str">
        <f t="shared" si="6"/>
        <v/>
      </c>
      <c r="C62" s="10"/>
      <c r="D62" s="10"/>
      <c r="E62" s="1" t="str">
        <f t="shared" si="4"/>
        <v/>
      </c>
      <c r="H62" s="12"/>
      <c r="I62" s="1" t="str">
        <f t="shared" si="7"/>
        <v/>
      </c>
      <c r="J62" s="10"/>
      <c r="K62" s="10"/>
      <c r="L62" s="1" t="str">
        <f t="shared" si="9"/>
        <v/>
      </c>
    </row>
    <row r="63" spans="1:12" x14ac:dyDescent="0.2">
      <c r="A63" s="12"/>
      <c r="B63" s="1" t="str">
        <f t="shared" si="6"/>
        <v/>
      </c>
      <c r="C63" s="10"/>
      <c r="D63" s="10"/>
      <c r="E63" s="1" t="str">
        <f t="shared" ref="E63:E65" si="10">IF(B63="", "", IF(AND(C63="", D63=""), B63, B63+C63-D63))</f>
        <v/>
      </c>
      <c r="H63" s="12"/>
      <c r="I63" s="1" t="str">
        <f t="shared" ref="I63:I65" si="11">+IF(AND(L62=I62,J62="",K62=""),"",L62)</f>
        <v/>
      </c>
      <c r="J63" s="10"/>
      <c r="K63" s="10"/>
      <c r="L63" s="1" t="str">
        <f t="shared" si="9"/>
        <v/>
      </c>
    </row>
    <row r="64" spans="1:12" x14ac:dyDescent="0.2">
      <c r="A64" s="12"/>
      <c r="B64" s="1" t="str">
        <f t="shared" si="6"/>
        <v/>
      </c>
      <c r="C64" s="10"/>
      <c r="D64" s="10"/>
      <c r="E64" s="1" t="str">
        <f t="shared" si="10"/>
        <v/>
      </c>
      <c r="H64" s="12"/>
      <c r="I64" s="1" t="str">
        <f t="shared" si="11"/>
        <v/>
      </c>
      <c r="J64" s="10"/>
      <c r="K64" s="10"/>
      <c r="L64" s="1" t="str">
        <f t="shared" si="9"/>
        <v/>
      </c>
    </row>
    <row r="65" spans="1:12" x14ac:dyDescent="0.2">
      <c r="A65" s="12"/>
      <c r="B65" s="1" t="str">
        <f t="shared" si="6"/>
        <v/>
      </c>
      <c r="C65" s="10"/>
      <c r="D65" s="10"/>
      <c r="E65" s="1" t="str">
        <f t="shared" si="10"/>
        <v/>
      </c>
      <c r="H65" s="10"/>
      <c r="I65" s="1" t="str">
        <f t="shared" si="11"/>
        <v/>
      </c>
      <c r="J65" s="10"/>
      <c r="K65" s="10"/>
      <c r="L65" s="1" t="str">
        <f t="shared" si="9"/>
        <v/>
      </c>
    </row>
    <row r="66" spans="1:12" x14ac:dyDescent="0.2">
      <c r="A66" s="14" t="s">
        <v>13</v>
      </c>
      <c r="B66" s="15"/>
      <c r="C66" s="16"/>
      <c r="D66" s="14">
        <f>SUM(D38:D65)</f>
        <v>1230.5</v>
      </c>
      <c r="E66" s="16"/>
      <c r="H66" s="64" t="s">
        <v>14</v>
      </c>
      <c r="I66" s="71"/>
      <c r="J66" s="65"/>
      <c r="K66" s="64">
        <f>SUM(K38:K65)</f>
        <v>1922</v>
      </c>
      <c r="L66" s="65"/>
    </row>
    <row r="67" spans="1:12" x14ac:dyDescent="0.2">
      <c r="A67" s="70" t="s">
        <v>12</v>
      </c>
      <c r="B67" s="70"/>
      <c r="C67" s="70"/>
      <c r="D67" s="70"/>
      <c r="E67" s="13">
        <f>+COUNTA(A38:A65)</f>
        <v>18</v>
      </c>
      <c r="H67" s="70" t="s">
        <v>12</v>
      </c>
      <c r="I67" s="70"/>
      <c r="J67" s="70"/>
      <c r="K67" s="70"/>
      <c r="L67" s="13">
        <f>+COUNTA(H38:H65)</f>
        <v>3</v>
      </c>
    </row>
    <row r="71" spans="1:12" ht="27" customHeight="1" x14ac:dyDescent="0.3">
      <c r="A71" s="8" t="s">
        <v>11</v>
      </c>
      <c r="B71" s="8"/>
      <c r="C71" s="8"/>
      <c r="D71" s="8"/>
      <c r="E71" s="8"/>
      <c r="H71" s="66" t="s">
        <v>21</v>
      </c>
      <c r="I71" s="67"/>
      <c r="J71" s="67"/>
      <c r="K71" s="67"/>
      <c r="L71" s="68"/>
    </row>
    <row r="72" spans="1:12" x14ac:dyDescent="0.2">
      <c r="A72" s="6" t="s">
        <v>0</v>
      </c>
      <c r="B72" s="6" t="s">
        <v>2</v>
      </c>
      <c r="C72" s="6" t="s">
        <v>4</v>
      </c>
      <c r="D72" s="6" t="s">
        <v>3</v>
      </c>
      <c r="E72" s="6" t="s">
        <v>5</v>
      </c>
      <c r="H72" s="6" t="s">
        <v>0</v>
      </c>
      <c r="I72" s="6" t="s">
        <v>1</v>
      </c>
      <c r="J72" s="6" t="s">
        <v>4</v>
      </c>
      <c r="K72" s="6" t="s">
        <v>3</v>
      </c>
      <c r="L72" s="6" t="s">
        <v>5</v>
      </c>
    </row>
    <row r="73" spans="1:12" x14ac:dyDescent="0.2">
      <c r="A73" s="2">
        <v>46143</v>
      </c>
      <c r="B73" s="1"/>
      <c r="C73" s="1"/>
      <c r="D73" s="1"/>
      <c r="E73" s="1" t="str">
        <f>IF(B73="", "", IF(AND(C73="", D73=""), B73, B73+C73-D73))</f>
        <v/>
      </c>
      <c r="H73" s="2">
        <v>46143</v>
      </c>
      <c r="I73" s="1"/>
      <c r="J73" s="1"/>
      <c r="K73" s="1"/>
      <c r="L73" s="1" t="str">
        <f>IF(I73="", "", IF(AND(J73="", K73=""), I73, I73+J73-K73))</f>
        <v/>
      </c>
    </row>
    <row r="74" spans="1:12" x14ac:dyDescent="0.2">
      <c r="A74" s="2"/>
      <c r="B74" s="1" t="str">
        <f t="shared" ref="B74:B81" si="12">+IF(AND(E73=B73,C73="",D73=""),"",E73)</f>
        <v/>
      </c>
      <c r="C74" s="1"/>
      <c r="D74" s="1"/>
      <c r="E74" s="1" t="str">
        <f t="shared" ref="E74:E81" si="13">IF(B74="", "", IF(AND(C74="", D74=""), B74, B74+C74-D74))</f>
        <v/>
      </c>
      <c r="H74" s="2"/>
      <c r="I74" s="1" t="str">
        <f>+IF(AND(L73=I73,J73="",K73=""),"",L73)</f>
        <v/>
      </c>
      <c r="J74" s="1"/>
      <c r="K74" s="1"/>
      <c r="L74" s="1" t="str">
        <f t="shared" ref="L74:L81" si="14">IF(I74="", "", IF(AND(J74="", K74=""), I74, I74+J74-K74))</f>
        <v/>
      </c>
    </row>
    <row r="75" spans="1:12" x14ac:dyDescent="0.2">
      <c r="A75" s="1"/>
      <c r="B75" s="1" t="str">
        <f t="shared" si="12"/>
        <v/>
      </c>
      <c r="C75" s="1"/>
      <c r="D75" s="1"/>
      <c r="E75" s="1" t="str">
        <f t="shared" si="13"/>
        <v/>
      </c>
      <c r="H75" s="1"/>
      <c r="I75" s="1" t="str">
        <f t="shared" ref="I75:I81" si="15">+IF(AND(L74=I74,J74="",K74=""),"",L74)</f>
        <v/>
      </c>
      <c r="J75" s="1"/>
      <c r="K75" s="1"/>
      <c r="L75" s="1" t="str">
        <f t="shared" si="14"/>
        <v/>
      </c>
    </row>
    <row r="76" spans="1:12" x14ac:dyDescent="0.2">
      <c r="A76" s="1"/>
      <c r="B76" s="1" t="str">
        <f t="shared" si="12"/>
        <v/>
      </c>
      <c r="C76" s="1"/>
      <c r="D76" s="1"/>
      <c r="E76" s="1" t="str">
        <f t="shared" si="13"/>
        <v/>
      </c>
      <c r="H76" s="1"/>
      <c r="I76" s="1" t="str">
        <f t="shared" si="15"/>
        <v/>
      </c>
      <c r="J76" s="1"/>
      <c r="K76" s="1"/>
      <c r="L76" s="1" t="str">
        <f t="shared" si="14"/>
        <v/>
      </c>
    </row>
    <row r="77" spans="1:12" x14ac:dyDescent="0.2">
      <c r="A77" s="1"/>
      <c r="B77" s="1" t="str">
        <f t="shared" si="12"/>
        <v/>
      </c>
      <c r="C77" s="1"/>
      <c r="D77" s="1"/>
      <c r="E77" s="1" t="str">
        <f t="shared" si="13"/>
        <v/>
      </c>
      <c r="H77" s="1"/>
      <c r="I77" s="1" t="str">
        <f t="shared" si="15"/>
        <v/>
      </c>
      <c r="J77" s="1"/>
      <c r="K77" s="1"/>
      <c r="L77" s="1" t="str">
        <f t="shared" si="14"/>
        <v/>
      </c>
    </row>
    <row r="78" spans="1:12" x14ac:dyDescent="0.2">
      <c r="A78" s="1"/>
      <c r="B78" s="1" t="str">
        <f t="shared" si="12"/>
        <v/>
      </c>
      <c r="C78" s="1"/>
      <c r="D78" s="1"/>
      <c r="E78" s="1" t="str">
        <f t="shared" si="13"/>
        <v/>
      </c>
      <c r="H78" s="1"/>
      <c r="I78" s="1" t="str">
        <f t="shared" si="15"/>
        <v/>
      </c>
      <c r="J78" s="1"/>
      <c r="K78" s="1"/>
      <c r="L78" s="1" t="str">
        <f t="shared" si="14"/>
        <v/>
      </c>
    </row>
    <row r="79" spans="1:12" x14ac:dyDescent="0.2">
      <c r="A79" s="1"/>
      <c r="B79" s="1" t="str">
        <f t="shared" si="12"/>
        <v/>
      </c>
      <c r="C79" s="1"/>
      <c r="D79" s="1"/>
      <c r="E79" s="1" t="str">
        <f t="shared" si="13"/>
        <v/>
      </c>
      <c r="H79" s="1"/>
      <c r="I79" s="1" t="str">
        <f t="shared" si="15"/>
        <v/>
      </c>
      <c r="J79" s="1"/>
      <c r="K79" s="1"/>
      <c r="L79" s="1" t="str">
        <f t="shared" si="14"/>
        <v/>
      </c>
    </row>
    <row r="80" spans="1:12" x14ac:dyDescent="0.2">
      <c r="A80" s="1"/>
      <c r="B80" s="1" t="str">
        <f t="shared" si="12"/>
        <v/>
      </c>
      <c r="C80" s="1"/>
      <c r="D80" s="1"/>
      <c r="E80" s="1" t="str">
        <f t="shared" si="13"/>
        <v/>
      </c>
      <c r="H80" s="1"/>
      <c r="I80" s="1" t="str">
        <f t="shared" si="15"/>
        <v/>
      </c>
      <c r="J80" s="1"/>
      <c r="K80" s="1"/>
      <c r="L80" s="1" t="str">
        <f t="shared" si="14"/>
        <v/>
      </c>
    </row>
    <row r="81" spans="1:12" x14ac:dyDescent="0.2">
      <c r="A81" s="1"/>
      <c r="B81" s="1" t="str">
        <f t="shared" si="12"/>
        <v/>
      </c>
      <c r="C81" s="1"/>
      <c r="D81" s="1"/>
      <c r="E81" s="1" t="str">
        <f t="shared" si="13"/>
        <v/>
      </c>
      <c r="H81" s="10"/>
      <c r="I81" s="1" t="str">
        <f t="shared" si="15"/>
        <v/>
      </c>
      <c r="J81" s="10"/>
      <c r="K81" s="10"/>
      <c r="L81" s="1" t="str">
        <f t="shared" si="14"/>
        <v/>
      </c>
    </row>
    <row r="82" spans="1:12" x14ac:dyDescent="0.2">
      <c r="A82" s="63" t="s">
        <v>22</v>
      </c>
      <c r="B82" s="63"/>
      <c r="C82" s="63"/>
      <c r="D82" s="64">
        <f>SUM(D73:D81)</f>
        <v>0</v>
      </c>
      <c r="E82" s="65"/>
      <c r="H82" s="63" t="s">
        <v>22</v>
      </c>
      <c r="I82" s="63"/>
      <c r="J82" s="63"/>
      <c r="K82" s="64">
        <f>SUM(K73:K81)</f>
        <v>0</v>
      </c>
      <c r="L82" s="65"/>
    </row>
    <row r="85" spans="1:12" ht="23.25" x14ac:dyDescent="0.3">
      <c r="A85" s="8" t="s">
        <v>41</v>
      </c>
      <c r="B85" s="8"/>
      <c r="C85" s="8"/>
      <c r="D85" s="8"/>
      <c r="E85" s="8"/>
    </row>
    <row r="86" spans="1:12" x14ac:dyDescent="0.2">
      <c r="A86" s="6" t="s">
        <v>0</v>
      </c>
      <c r="B86" s="6" t="s">
        <v>2</v>
      </c>
      <c r="C86" s="6" t="s">
        <v>4</v>
      </c>
      <c r="D86" s="6" t="s">
        <v>3</v>
      </c>
      <c r="E86" s="6" t="s">
        <v>5</v>
      </c>
    </row>
    <row r="87" spans="1:12" x14ac:dyDescent="0.2">
      <c r="A87" s="2">
        <v>46141</v>
      </c>
      <c r="B87" s="1">
        <v>0</v>
      </c>
      <c r="C87" s="1">
        <v>4600</v>
      </c>
      <c r="D87" s="1">
        <v>0</v>
      </c>
      <c r="E87" s="1">
        <f>IF(B87="", "", IF(AND(C87="", D87=""), B87, B87+C87-D87))</f>
        <v>4600</v>
      </c>
    </row>
    <row r="88" spans="1:12" x14ac:dyDescent="0.2">
      <c r="A88" s="2">
        <v>46142</v>
      </c>
      <c r="B88" s="1">
        <f>+IF(AND(E87=B87,C87="",D87=""),"",E87)</f>
        <v>4600</v>
      </c>
      <c r="C88" s="1"/>
      <c r="D88" s="1">
        <v>95</v>
      </c>
      <c r="E88" s="1">
        <f t="shared" ref="E88:E116" si="16">IF(B88="", "", IF(AND(C88="", D88=""), B88, B88+C88-D88))</f>
        <v>4505</v>
      </c>
    </row>
    <row r="89" spans="1:12" x14ac:dyDescent="0.2">
      <c r="A89" s="2">
        <v>46146</v>
      </c>
      <c r="B89" s="1">
        <f t="shared" ref="B89:B116" si="17">+IF(AND(E88=B88,C88="",D88=""),"",E88)</f>
        <v>4505</v>
      </c>
      <c r="C89" s="1"/>
      <c r="D89" s="1">
        <v>130</v>
      </c>
      <c r="E89" s="1">
        <f t="shared" si="16"/>
        <v>4375</v>
      </c>
    </row>
    <row r="90" spans="1:12" x14ac:dyDescent="0.2">
      <c r="A90" s="2">
        <v>46147</v>
      </c>
      <c r="B90" s="1">
        <f t="shared" si="17"/>
        <v>4375</v>
      </c>
      <c r="C90" s="1"/>
      <c r="D90" s="1">
        <v>145</v>
      </c>
      <c r="E90" s="1">
        <f t="shared" si="16"/>
        <v>4230</v>
      </c>
    </row>
    <row r="91" spans="1:12" x14ac:dyDescent="0.2">
      <c r="A91" s="2">
        <v>46148</v>
      </c>
      <c r="B91" s="1">
        <f t="shared" si="17"/>
        <v>4230</v>
      </c>
      <c r="C91" s="1"/>
      <c r="D91" s="1">
        <v>100</v>
      </c>
      <c r="E91" s="1">
        <f t="shared" si="16"/>
        <v>4130</v>
      </c>
    </row>
    <row r="92" spans="1:12" x14ac:dyDescent="0.2">
      <c r="A92" s="2">
        <v>46149</v>
      </c>
      <c r="B92" s="1">
        <f t="shared" si="17"/>
        <v>4130</v>
      </c>
      <c r="C92" s="1"/>
      <c r="D92" s="1">
        <v>122</v>
      </c>
      <c r="E92" s="1">
        <f t="shared" si="16"/>
        <v>4008</v>
      </c>
    </row>
    <row r="93" spans="1:12" x14ac:dyDescent="0.2">
      <c r="A93" s="2">
        <v>46150</v>
      </c>
      <c r="B93" s="1">
        <f t="shared" si="17"/>
        <v>4008</v>
      </c>
      <c r="C93" s="1"/>
      <c r="D93" s="1">
        <v>100</v>
      </c>
      <c r="E93" s="1">
        <f t="shared" si="16"/>
        <v>3908</v>
      </c>
    </row>
    <row r="94" spans="1:12" x14ac:dyDescent="0.2">
      <c r="A94" s="2">
        <v>46151</v>
      </c>
      <c r="B94" s="1">
        <f t="shared" si="17"/>
        <v>3908</v>
      </c>
      <c r="C94" s="1"/>
      <c r="D94" s="1">
        <v>83</v>
      </c>
      <c r="E94" s="1">
        <f t="shared" si="16"/>
        <v>3825</v>
      </c>
    </row>
    <row r="95" spans="1:12" x14ac:dyDescent="0.2">
      <c r="A95" s="2">
        <v>46153</v>
      </c>
      <c r="B95" s="1">
        <f t="shared" si="17"/>
        <v>3825</v>
      </c>
      <c r="C95" s="1"/>
      <c r="D95" s="1">
        <v>145</v>
      </c>
      <c r="E95" s="1">
        <f t="shared" si="16"/>
        <v>3680</v>
      </c>
    </row>
    <row r="96" spans="1:12" x14ac:dyDescent="0.2">
      <c r="A96" s="2">
        <v>46154</v>
      </c>
      <c r="B96" s="1">
        <f t="shared" si="17"/>
        <v>3680</v>
      </c>
      <c r="C96" s="1"/>
      <c r="D96" s="1">
        <v>194</v>
      </c>
      <c r="E96" s="1">
        <f t="shared" si="16"/>
        <v>3486</v>
      </c>
    </row>
    <row r="97" spans="1:5" x14ac:dyDescent="0.2">
      <c r="A97" s="2">
        <v>46155</v>
      </c>
      <c r="B97" s="1">
        <f t="shared" si="17"/>
        <v>3486</v>
      </c>
      <c r="C97" s="1"/>
      <c r="D97" s="1">
        <v>131</v>
      </c>
      <c r="E97" s="1">
        <f t="shared" si="16"/>
        <v>3355</v>
      </c>
    </row>
    <row r="98" spans="1:5" x14ac:dyDescent="0.2">
      <c r="A98" s="2">
        <v>46156</v>
      </c>
      <c r="B98" s="1">
        <f t="shared" si="17"/>
        <v>3355</v>
      </c>
      <c r="C98" s="1"/>
      <c r="D98" s="1">
        <v>113</v>
      </c>
      <c r="E98" s="1">
        <f t="shared" si="16"/>
        <v>3242</v>
      </c>
    </row>
    <row r="99" spans="1:5" x14ac:dyDescent="0.2">
      <c r="A99" s="2">
        <v>46157</v>
      </c>
      <c r="B99" s="1">
        <f t="shared" si="17"/>
        <v>3242</v>
      </c>
      <c r="C99" s="1"/>
      <c r="D99" s="1">
        <v>40</v>
      </c>
      <c r="E99" s="1">
        <f t="shared" si="16"/>
        <v>3202</v>
      </c>
    </row>
    <row r="100" spans="1:5" x14ac:dyDescent="0.2">
      <c r="A100" s="2">
        <v>46158</v>
      </c>
      <c r="B100" s="1">
        <f t="shared" si="17"/>
        <v>3202</v>
      </c>
      <c r="C100" s="1"/>
      <c r="D100" s="1">
        <v>130</v>
      </c>
      <c r="E100" s="1">
        <f t="shared" si="16"/>
        <v>3072</v>
      </c>
    </row>
    <row r="101" spans="1:5" x14ac:dyDescent="0.2">
      <c r="A101" s="2">
        <v>46160</v>
      </c>
      <c r="B101" s="1">
        <f t="shared" si="17"/>
        <v>3072</v>
      </c>
      <c r="C101" s="1"/>
      <c r="D101" s="1">
        <v>165</v>
      </c>
      <c r="E101" s="1">
        <f t="shared" si="16"/>
        <v>2907</v>
      </c>
    </row>
    <row r="102" spans="1:5" x14ac:dyDescent="0.2">
      <c r="A102" s="2">
        <v>46161</v>
      </c>
      <c r="B102" s="1">
        <f t="shared" si="17"/>
        <v>2907</v>
      </c>
      <c r="C102" s="1"/>
      <c r="D102" s="1">
        <v>157</v>
      </c>
      <c r="E102" s="1">
        <f t="shared" si="16"/>
        <v>2750</v>
      </c>
    </row>
    <row r="103" spans="1:5" x14ac:dyDescent="0.2">
      <c r="A103" s="2">
        <v>46162</v>
      </c>
      <c r="B103" s="1">
        <f t="shared" si="17"/>
        <v>2750</v>
      </c>
      <c r="C103" s="1"/>
      <c r="D103" s="1">
        <v>157</v>
      </c>
      <c r="E103" s="1">
        <f t="shared" si="16"/>
        <v>2593</v>
      </c>
    </row>
    <row r="104" spans="1:5" x14ac:dyDescent="0.2">
      <c r="A104" s="2">
        <v>46163</v>
      </c>
      <c r="B104" s="1">
        <f t="shared" si="17"/>
        <v>2593</v>
      </c>
      <c r="C104" s="1"/>
      <c r="D104" s="1">
        <v>120</v>
      </c>
      <c r="E104" s="1">
        <f t="shared" si="16"/>
        <v>2473</v>
      </c>
    </row>
    <row r="105" spans="1:5" x14ac:dyDescent="0.2">
      <c r="A105" s="2"/>
      <c r="B105" s="1">
        <f t="shared" si="17"/>
        <v>2473</v>
      </c>
      <c r="C105" s="1"/>
      <c r="D105" s="1"/>
      <c r="E105" s="1">
        <f t="shared" si="16"/>
        <v>2473</v>
      </c>
    </row>
    <row r="106" spans="1:5" x14ac:dyDescent="0.2">
      <c r="A106" s="2"/>
      <c r="B106" s="1" t="str">
        <f t="shared" si="17"/>
        <v/>
      </c>
      <c r="C106" s="1"/>
      <c r="D106" s="1"/>
      <c r="E106" s="1" t="str">
        <f t="shared" si="16"/>
        <v/>
      </c>
    </row>
    <row r="107" spans="1:5" x14ac:dyDescent="0.2">
      <c r="A107" s="2"/>
      <c r="B107" s="1" t="str">
        <f t="shared" si="17"/>
        <v/>
      </c>
      <c r="C107" s="1"/>
      <c r="D107" s="1"/>
      <c r="E107" s="1" t="str">
        <f t="shared" si="16"/>
        <v/>
      </c>
    </row>
    <row r="108" spans="1:5" x14ac:dyDescent="0.2">
      <c r="A108" s="2"/>
      <c r="B108" s="1" t="str">
        <f t="shared" si="17"/>
        <v/>
      </c>
      <c r="C108" s="1"/>
      <c r="D108" s="1"/>
      <c r="E108" s="1" t="str">
        <f t="shared" si="16"/>
        <v/>
      </c>
    </row>
    <row r="109" spans="1:5" x14ac:dyDescent="0.2">
      <c r="A109" s="2"/>
      <c r="B109" s="1" t="str">
        <f t="shared" si="17"/>
        <v/>
      </c>
      <c r="C109" s="1"/>
      <c r="D109" s="1"/>
      <c r="E109" s="1" t="str">
        <f t="shared" si="16"/>
        <v/>
      </c>
    </row>
    <row r="110" spans="1:5" x14ac:dyDescent="0.2">
      <c r="A110" s="1"/>
      <c r="B110" s="1" t="str">
        <f t="shared" si="17"/>
        <v/>
      </c>
      <c r="C110" s="1"/>
      <c r="D110" s="1"/>
      <c r="E110" s="1" t="str">
        <f t="shared" si="16"/>
        <v/>
      </c>
    </row>
    <row r="111" spans="1:5" x14ac:dyDescent="0.2">
      <c r="A111" s="1"/>
      <c r="B111" s="1" t="str">
        <f t="shared" si="17"/>
        <v/>
      </c>
      <c r="C111" s="1"/>
      <c r="D111" s="1"/>
      <c r="E111" s="1" t="str">
        <f t="shared" si="16"/>
        <v/>
      </c>
    </row>
    <row r="112" spans="1:5" x14ac:dyDescent="0.2">
      <c r="A112" s="1"/>
      <c r="B112" s="1" t="str">
        <f t="shared" si="17"/>
        <v/>
      </c>
      <c r="C112" s="1"/>
      <c r="D112" s="1"/>
      <c r="E112" s="1" t="str">
        <f t="shared" si="16"/>
        <v/>
      </c>
    </row>
    <row r="113" spans="1:5" x14ac:dyDescent="0.2">
      <c r="A113" s="1"/>
      <c r="B113" s="1" t="str">
        <f t="shared" si="17"/>
        <v/>
      </c>
      <c r="C113" s="1"/>
      <c r="D113" s="1"/>
      <c r="E113" s="1" t="str">
        <f t="shared" si="16"/>
        <v/>
      </c>
    </row>
    <row r="114" spans="1:5" x14ac:dyDescent="0.2">
      <c r="A114" s="1"/>
      <c r="B114" s="1" t="str">
        <f t="shared" si="17"/>
        <v/>
      </c>
      <c r="C114" s="1"/>
      <c r="D114" s="1"/>
      <c r="E114" s="1" t="str">
        <f t="shared" si="16"/>
        <v/>
      </c>
    </row>
    <row r="115" spans="1:5" x14ac:dyDescent="0.2">
      <c r="A115" s="1"/>
      <c r="B115" s="1" t="str">
        <f t="shared" si="17"/>
        <v/>
      </c>
      <c r="C115" s="1"/>
      <c r="D115" s="1"/>
      <c r="E115" s="1" t="str">
        <f t="shared" si="16"/>
        <v/>
      </c>
    </row>
    <row r="116" spans="1:5" x14ac:dyDescent="0.2">
      <c r="A116" s="1"/>
      <c r="B116" s="1" t="str">
        <f t="shared" si="17"/>
        <v/>
      </c>
      <c r="C116" s="1"/>
      <c r="D116" s="1"/>
      <c r="E116" s="1" t="str">
        <f t="shared" si="16"/>
        <v/>
      </c>
    </row>
    <row r="117" spans="1:5" x14ac:dyDescent="0.2">
      <c r="A117" s="63" t="s">
        <v>22</v>
      </c>
      <c r="B117" s="63"/>
      <c r="C117" s="63"/>
      <c r="D117" s="64">
        <f>SUM(D87:D116)</f>
        <v>2127</v>
      </c>
      <c r="E117" s="65"/>
    </row>
  </sheetData>
  <autoFilter ref="H1:L13" xr:uid="{4EE1E61D-57B3-4C45-A68F-7150D45799AA}">
    <filterColumn colId="0" showButton="0"/>
    <filterColumn colId="1" showButton="0"/>
    <filterColumn colId="2" showButton="0"/>
    <filterColumn colId="3" showButton="0"/>
  </autoFilter>
  <mergeCells count="18">
    <mergeCell ref="H1:L1"/>
    <mergeCell ref="A32:D32"/>
    <mergeCell ref="H32:K32"/>
    <mergeCell ref="A67:D67"/>
    <mergeCell ref="H67:K67"/>
    <mergeCell ref="A31:C31"/>
    <mergeCell ref="D31:E31"/>
    <mergeCell ref="H31:J31"/>
    <mergeCell ref="K31:L31"/>
    <mergeCell ref="K66:L66"/>
    <mergeCell ref="H66:J66"/>
    <mergeCell ref="A117:C117"/>
    <mergeCell ref="D117:E117"/>
    <mergeCell ref="H82:J82"/>
    <mergeCell ref="K82:L82"/>
    <mergeCell ref="H71:L71"/>
    <mergeCell ref="A82:C82"/>
    <mergeCell ref="D82:E8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C8A9-62C8-154C-ADA9-A274940741C2}">
  <sheetPr>
    <tabColor theme="5" tint="0.39997558519241921"/>
  </sheetPr>
  <dimension ref="A1:R137"/>
  <sheetViews>
    <sheetView topLeftCell="A44" zoomScale="115" zoomScaleNormal="115" zoomScaleSheetLayoutView="100" workbookViewId="0">
      <selection activeCell="A66" sqref="A66"/>
    </sheetView>
  </sheetViews>
  <sheetFormatPr defaultColWidth="9.14453125" defaultRowHeight="15" x14ac:dyDescent="0.2"/>
  <cols>
    <col min="1" max="1" width="11.02734375" customWidth="1"/>
    <col min="2" max="2" width="14.52734375" customWidth="1"/>
    <col min="3" max="3" width="16.140625" customWidth="1"/>
    <col min="4" max="4" width="11.02734375" customWidth="1"/>
    <col min="5" max="5" width="9.81640625" customWidth="1"/>
    <col min="6" max="6" width="14.796875" customWidth="1"/>
    <col min="7" max="7" width="15.06640625" customWidth="1"/>
    <col min="8" max="8" width="18.29296875" customWidth="1"/>
    <col min="9" max="9" width="11.02734375" customWidth="1"/>
    <col min="11" max="11" width="11.02734375" customWidth="1"/>
    <col min="13" max="13" width="9.14453125" customWidth="1"/>
    <col min="14" max="14" width="14.2578125" customWidth="1"/>
    <col min="16" max="16" width="13.98828125" customWidth="1"/>
    <col min="17" max="17" width="17.890625" customWidth="1"/>
    <col min="18" max="18" width="20.71484375" customWidth="1"/>
  </cols>
  <sheetData>
    <row r="1" spans="1:18" x14ac:dyDescent="0.2">
      <c r="A1" s="59" t="s">
        <v>35</v>
      </c>
      <c r="B1" s="60"/>
      <c r="C1" s="60"/>
      <c r="D1" s="60"/>
      <c r="E1" s="60"/>
      <c r="F1" s="60"/>
      <c r="G1" s="60"/>
      <c r="H1" s="61"/>
      <c r="K1" s="62" t="s">
        <v>32</v>
      </c>
      <c r="L1" s="62"/>
      <c r="M1" s="62"/>
      <c r="N1" s="62"/>
      <c r="O1" s="62"/>
      <c r="P1" s="62"/>
      <c r="Q1" s="62"/>
      <c r="R1" s="62"/>
    </row>
    <row r="2" spans="1:18" x14ac:dyDescent="0.2">
      <c r="A2" s="17" t="s">
        <v>50</v>
      </c>
      <c r="B2" s="17" t="s">
        <v>15</v>
      </c>
      <c r="C2" s="17" t="s">
        <v>16</v>
      </c>
      <c r="D2" s="17" t="s">
        <v>18</v>
      </c>
      <c r="E2" s="17" t="s">
        <v>17</v>
      </c>
      <c r="F2" s="31" t="s">
        <v>33</v>
      </c>
      <c r="G2" s="31" t="s">
        <v>34</v>
      </c>
      <c r="H2" s="31" t="s">
        <v>51</v>
      </c>
      <c r="K2" s="17" t="s">
        <v>50</v>
      </c>
      <c r="L2" s="17" t="s">
        <v>15</v>
      </c>
      <c r="M2" s="17" t="s">
        <v>16</v>
      </c>
      <c r="N2" s="17" t="s">
        <v>18</v>
      </c>
      <c r="O2" s="17" t="s">
        <v>17</v>
      </c>
      <c r="P2" s="31" t="s">
        <v>33</v>
      </c>
      <c r="Q2" s="31" t="s">
        <v>34</v>
      </c>
      <c r="R2" s="31" t="s">
        <v>51</v>
      </c>
    </row>
    <row r="3" spans="1:18" x14ac:dyDescent="0.2">
      <c r="A3" s="32"/>
      <c r="B3" s="32">
        <v>46146</v>
      </c>
      <c r="C3" s="33" t="s">
        <v>38</v>
      </c>
      <c r="D3" s="34">
        <v>45</v>
      </c>
      <c r="E3" s="24"/>
      <c r="F3" s="30" t="s">
        <v>40</v>
      </c>
      <c r="G3" s="30" t="s">
        <v>46</v>
      </c>
      <c r="H3" s="30"/>
      <c r="K3" s="46"/>
      <c r="L3" s="46"/>
      <c r="M3" s="47"/>
      <c r="N3" s="48"/>
      <c r="O3" s="49"/>
      <c r="P3" s="30"/>
      <c r="Q3" s="30"/>
      <c r="R3" s="30"/>
    </row>
    <row r="4" spans="1:18" x14ac:dyDescent="0.2">
      <c r="A4" s="32"/>
      <c r="B4" s="32" t="s">
        <v>44</v>
      </c>
      <c r="C4" s="35" t="s">
        <v>39</v>
      </c>
      <c r="D4" s="34">
        <v>35</v>
      </c>
      <c r="E4" s="24"/>
      <c r="F4" s="30" t="s">
        <v>40</v>
      </c>
      <c r="G4" s="30" t="s">
        <v>46</v>
      </c>
      <c r="H4" s="30"/>
      <c r="K4" s="46"/>
      <c r="L4" s="46"/>
      <c r="M4" s="50"/>
      <c r="N4" s="48"/>
      <c r="O4" s="49"/>
      <c r="P4" s="30"/>
      <c r="Q4" s="30"/>
      <c r="R4" s="30"/>
    </row>
    <row r="5" spans="1:18" x14ac:dyDescent="0.2">
      <c r="A5" s="32"/>
      <c r="B5" s="32" t="s">
        <v>44</v>
      </c>
      <c r="C5" s="33" t="s">
        <v>43</v>
      </c>
      <c r="D5" s="34">
        <v>40</v>
      </c>
      <c r="E5" s="24"/>
      <c r="F5" s="30" t="s">
        <v>40</v>
      </c>
      <c r="G5" s="30" t="s">
        <v>46</v>
      </c>
      <c r="H5" s="30"/>
      <c r="K5" s="46"/>
      <c r="L5" s="46"/>
      <c r="M5" s="47"/>
      <c r="N5" s="48"/>
      <c r="O5" s="49"/>
      <c r="P5" s="30"/>
      <c r="Q5" s="30"/>
      <c r="R5" s="30"/>
    </row>
    <row r="6" spans="1:18" x14ac:dyDescent="0.2">
      <c r="A6" s="32"/>
      <c r="B6" s="32" t="s">
        <v>44</v>
      </c>
      <c r="C6" s="33" t="s">
        <v>36</v>
      </c>
      <c r="D6" s="34">
        <v>10</v>
      </c>
      <c r="E6" s="24">
        <v>130</v>
      </c>
      <c r="F6" s="30" t="s">
        <v>45</v>
      </c>
      <c r="G6" s="30" t="s">
        <v>46</v>
      </c>
      <c r="H6" s="30"/>
      <c r="K6" s="46"/>
      <c r="L6" s="46"/>
      <c r="M6" s="47"/>
      <c r="N6" s="48"/>
      <c r="O6" s="49"/>
      <c r="P6" s="30"/>
      <c r="Q6" s="30"/>
      <c r="R6" s="30"/>
    </row>
    <row r="7" spans="1:18" x14ac:dyDescent="0.2">
      <c r="A7" s="36"/>
      <c r="B7" s="36">
        <v>46147</v>
      </c>
      <c r="C7" s="37" t="s">
        <v>38</v>
      </c>
      <c r="D7" s="38">
        <v>50</v>
      </c>
      <c r="E7" s="24"/>
      <c r="F7" s="30" t="s">
        <v>40</v>
      </c>
      <c r="G7" s="30" t="s">
        <v>46</v>
      </c>
      <c r="H7" s="30"/>
      <c r="K7" s="46"/>
      <c r="L7" s="46"/>
      <c r="M7" s="47"/>
      <c r="N7" s="48"/>
      <c r="O7" s="49"/>
      <c r="P7" s="30"/>
      <c r="Q7" s="30"/>
      <c r="R7" s="30"/>
    </row>
    <row r="8" spans="1:18" x14ac:dyDescent="0.2">
      <c r="A8" s="36"/>
      <c r="B8" s="36" t="s">
        <v>44</v>
      </c>
      <c r="C8" s="37" t="s">
        <v>37</v>
      </c>
      <c r="D8" s="38">
        <v>52</v>
      </c>
      <c r="E8" s="24"/>
      <c r="F8" s="30" t="s">
        <v>40</v>
      </c>
      <c r="G8" s="30" t="s">
        <v>46</v>
      </c>
      <c r="H8" s="30"/>
      <c r="K8" s="46"/>
      <c r="L8" s="46"/>
      <c r="M8" s="47"/>
      <c r="N8" s="48"/>
      <c r="O8" s="49"/>
      <c r="P8" s="30"/>
      <c r="Q8" s="30"/>
      <c r="R8" s="30"/>
    </row>
    <row r="9" spans="1:18" x14ac:dyDescent="0.2">
      <c r="A9" s="36"/>
      <c r="B9" s="36" t="s">
        <v>44</v>
      </c>
      <c r="C9" s="37" t="s">
        <v>43</v>
      </c>
      <c r="D9" s="38">
        <v>20</v>
      </c>
      <c r="E9" s="24"/>
      <c r="F9" s="30" t="s">
        <v>40</v>
      </c>
      <c r="G9" s="30" t="s">
        <v>46</v>
      </c>
      <c r="H9" s="30"/>
      <c r="K9" s="46"/>
      <c r="L9" s="46"/>
      <c r="M9" s="47"/>
      <c r="N9" s="48"/>
      <c r="O9" s="49"/>
      <c r="P9" s="30"/>
      <c r="Q9" s="30"/>
      <c r="R9" s="30"/>
    </row>
    <row r="10" spans="1:18" x14ac:dyDescent="0.2">
      <c r="A10" s="36"/>
      <c r="B10" s="36" t="s">
        <v>44</v>
      </c>
      <c r="C10" s="37" t="s">
        <v>39</v>
      </c>
      <c r="D10" s="38">
        <v>23</v>
      </c>
      <c r="E10" s="24">
        <v>145</v>
      </c>
      <c r="F10" s="30" t="s">
        <v>40</v>
      </c>
      <c r="G10" s="30" t="s">
        <v>46</v>
      </c>
      <c r="H10" s="30"/>
      <c r="K10" s="46"/>
      <c r="L10" s="46"/>
      <c r="M10" s="47"/>
      <c r="N10" s="48"/>
      <c r="O10" s="49"/>
      <c r="P10" s="30"/>
      <c r="Q10" s="30"/>
      <c r="R10" s="30"/>
    </row>
    <row r="11" spans="1:18" x14ac:dyDescent="0.2">
      <c r="A11" s="32"/>
      <c r="B11" s="32">
        <v>46148</v>
      </c>
      <c r="C11" s="33" t="s">
        <v>38</v>
      </c>
      <c r="D11" s="34">
        <v>35</v>
      </c>
      <c r="E11" s="24"/>
      <c r="F11" s="30" t="s">
        <v>40</v>
      </c>
      <c r="G11" s="30" t="s">
        <v>46</v>
      </c>
      <c r="H11" s="30"/>
      <c r="K11" s="46"/>
      <c r="L11" s="46"/>
      <c r="M11" s="47"/>
      <c r="N11" s="48"/>
      <c r="O11" s="49"/>
      <c r="P11" s="30"/>
      <c r="Q11" s="30"/>
      <c r="R11" s="30"/>
    </row>
    <row r="12" spans="1:18" x14ac:dyDescent="0.2">
      <c r="A12" s="32"/>
      <c r="B12" s="32" t="s">
        <v>44</v>
      </c>
      <c r="C12" s="33" t="s">
        <v>43</v>
      </c>
      <c r="D12" s="34">
        <v>35</v>
      </c>
      <c r="E12" s="24"/>
      <c r="F12" s="30" t="s">
        <v>40</v>
      </c>
      <c r="G12" s="30" t="s">
        <v>46</v>
      </c>
      <c r="H12" s="30"/>
      <c r="K12" s="46"/>
      <c r="L12" s="46"/>
      <c r="M12" s="47"/>
      <c r="N12" s="48"/>
      <c r="O12" s="49"/>
      <c r="P12" s="30"/>
      <c r="Q12" s="30"/>
      <c r="R12" s="30"/>
    </row>
    <row r="13" spans="1:18" x14ac:dyDescent="0.2">
      <c r="A13" s="32"/>
      <c r="B13" s="32" t="s">
        <v>44</v>
      </c>
      <c r="C13" s="33" t="s">
        <v>36</v>
      </c>
      <c r="D13" s="34">
        <v>30</v>
      </c>
      <c r="E13" s="24">
        <v>100</v>
      </c>
      <c r="F13" s="30" t="s">
        <v>45</v>
      </c>
      <c r="G13" s="30" t="s">
        <v>46</v>
      </c>
      <c r="H13" s="30"/>
      <c r="K13" s="46"/>
      <c r="L13" s="46"/>
      <c r="M13" s="47"/>
      <c r="N13" s="48"/>
      <c r="O13" s="49"/>
      <c r="P13" s="30"/>
      <c r="Q13" s="30"/>
      <c r="R13" s="30"/>
    </row>
    <row r="14" spans="1:18" x14ac:dyDescent="0.2">
      <c r="A14" s="36"/>
      <c r="B14" s="36">
        <v>46149</v>
      </c>
      <c r="C14" s="39" t="s">
        <v>38</v>
      </c>
      <c r="D14" s="38">
        <v>35</v>
      </c>
      <c r="E14" s="24"/>
      <c r="F14" s="30" t="s">
        <v>40</v>
      </c>
      <c r="G14" s="30" t="s">
        <v>46</v>
      </c>
      <c r="H14" s="30"/>
      <c r="K14" s="46"/>
      <c r="L14" s="46"/>
      <c r="M14" s="49"/>
      <c r="N14" s="48"/>
      <c r="O14" s="49"/>
      <c r="P14" s="30"/>
      <c r="Q14" s="30"/>
      <c r="R14" s="30"/>
    </row>
    <row r="15" spans="1:18" x14ac:dyDescent="0.2">
      <c r="A15" s="36"/>
      <c r="B15" s="36" t="s">
        <v>44</v>
      </c>
      <c r="C15" s="39" t="s">
        <v>43</v>
      </c>
      <c r="D15" s="38">
        <v>40</v>
      </c>
      <c r="E15" s="24"/>
      <c r="F15" s="30" t="s">
        <v>40</v>
      </c>
      <c r="G15" s="30" t="s">
        <v>46</v>
      </c>
      <c r="H15" s="30"/>
      <c r="K15" s="46"/>
      <c r="L15" s="46"/>
      <c r="M15" s="49"/>
      <c r="N15" s="48"/>
      <c r="O15" s="49"/>
      <c r="P15" s="30"/>
      <c r="Q15" s="30"/>
      <c r="R15" s="30"/>
    </row>
    <row r="16" spans="1:18" x14ac:dyDescent="0.2">
      <c r="A16" s="36"/>
      <c r="B16" s="36" t="s">
        <v>44</v>
      </c>
      <c r="C16" s="39" t="s">
        <v>39</v>
      </c>
      <c r="D16" s="38">
        <v>25</v>
      </c>
      <c r="E16" s="24"/>
      <c r="F16" s="30" t="s">
        <v>40</v>
      </c>
      <c r="G16" s="30" t="s">
        <v>46</v>
      </c>
      <c r="H16" s="30"/>
      <c r="K16" s="46"/>
      <c r="L16" s="46"/>
      <c r="M16" s="49"/>
      <c r="N16" s="48"/>
      <c r="O16" s="49"/>
      <c r="P16" s="30"/>
      <c r="Q16" s="30"/>
      <c r="R16" s="30"/>
    </row>
    <row r="17" spans="1:18" ht="15" customHeight="1" x14ac:dyDescent="0.2">
      <c r="A17" s="36"/>
      <c r="B17" s="36" t="s">
        <v>44</v>
      </c>
      <c r="C17" s="39" t="s">
        <v>37</v>
      </c>
      <c r="D17" s="38">
        <v>22</v>
      </c>
      <c r="E17" s="24">
        <v>122</v>
      </c>
      <c r="F17" s="30" t="s">
        <v>40</v>
      </c>
      <c r="G17" s="30" t="s">
        <v>46</v>
      </c>
      <c r="H17" s="30"/>
      <c r="K17" s="46"/>
      <c r="L17" s="46"/>
      <c r="M17" s="49"/>
      <c r="N17" s="48"/>
      <c r="O17" s="49"/>
      <c r="P17" s="30"/>
      <c r="Q17" s="30"/>
      <c r="R17" s="30"/>
    </row>
    <row r="18" spans="1:18" x14ac:dyDescent="0.2">
      <c r="A18" s="32"/>
      <c r="B18" s="32">
        <v>46150</v>
      </c>
      <c r="C18" s="40" t="s">
        <v>43</v>
      </c>
      <c r="D18" s="34">
        <v>40</v>
      </c>
      <c r="E18" s="24"/>
      <c r="F18" s="30" t="s">
        <v>40</v>
      </c>
      <c r="G18" s="30" t="s">
        <v>46</v>
      </c>
      <c r="H18" s="30"/>
      <c r="K18" s="46"/>
      <c r="L18" s="46"/>
      <c r="M18" s="49"/>
      <c r="N18" s="48"/>
      <c r="O18" s="49"/>
      <c r="P18" s="30"/>
      <c r="Q18" s="30"/>
      <c r="R18" s="30"/>
    </row>
    <row r="19" spans="1:18" x14ac:dyDescent="0.2">
      <c r="A19" s="32"/>
      <c r="B19" s="32" t="s">
        <v>44</v>
      </c>
      <c r="C19" s="40" t="s">
        <v>38</v>
      </c>
      <c r="D19" s="34">
        <v>35</v>
      </c>
      <c r="E19" s="24"/>
      <c r="F19" s="30" t="s">
        <v>40</v>
      </c>
      <c r="G19" s="30" t="s">
        <v>46</v>
      </c>
      <c r="H19" s="30"/>
      <c r="K19" s="46"/>
      <c r="L19" s="46"/>
      <c r="M19" s="49"/>
      <c r="N19" s="48"/>
      <c r="O19" s="49"/>
      <c r="P19" s="30"/>
      <c r="Q19" s="30"/>
      <c r="R19" s="30"/>
    </row>
    <row r="20" spans="1:18" x14ac:dyDescent="0.2">
      <c r="A20" s="32"/>
      <c r="B20" s="32" t="s">
        <v>44</v>
      </c>
      <c r="C20" s="40" t="s">
        <v>39</v>
      </c>
      <c r="D20" s="34">
        <v>25</v>
      </c>
      <c r="E20" s="24">
        <v>100</v>
      </c>
      <c r="F20" s="30" t="s">
        <v>40</v>
      </c>
      <c r="G20" s="30" t="s">
        <v>46</v>
      </c>
      <c r="H20" s="30"/>
      <c r="K20" s="46"/>
      <c r="L20" s="46"/>
      <c r="M20" s="49"/>
      <c r="N20" s="48"/>
      <c r="O20" s="49"/>
      <c r="P20" s="30"/>
      <c r="Q20" s="30"/>
      <c r="R20" s="30"/>
    </row>
    <row r="21" spans="1:18" x14ac:dyDescent="0.2">
      <c r="A21" s="36"/>
      <c r="B21" s="36">
        <v>46151</v>
      </c>
      <c r="C21" s="39" t="s">
        <v>38</v>
      </c>
      <c r="D21" s="38">
        <v>40</v>
      </c>
      <c r="E21" s="24"/>
      <c r="F21" s="30" t="s">
        <v>40</v>
      </c>
      <c r="G21" s="30" t="s">
        <v>46</v>
      </c>
      <c r="H21" s="30"/>
      <c r="K21" s="46"/>
      <c r="L21" s="46"/>
      <c r="M21" s="49"/>
      <c r="N21" s="48"/>
      <c r="O21" s="49"/>
      <c r="P21" s="30"/>
      <c r="Q21" s="30"/>
      <c r="R21" s="30"/>
    </row>
    <row r="22" spans="1:18" x14ac:dyDescent="0.2">
      <c r="A22" s="36"/>
      <c r="B22" s="36" t="s">
        <v>44</v>
      </c>
      <c r="C22" s="39" t="s">
        <v>43</v>
      </c>
      <c r="D22" s="38">
        <v>43</v>
      </c>
      <c r="E22" s="24">
        <v>83</v>
      </c>
      <c r="F22" s="30" t="s">
        <v>40</v>
      </c>
      <c r="G22" s="30" t="s">
        <v>46</v>
      </c>
      <c r="H22" s="30"/>
      <c r="K22" s="46"/>
      <c r="L22" s="46"/>
      <c r="M22" s="49"/>
      <c r="N22" s="48"/>
      <c r="O22" s="49"/>
      <c r="P22" s="30"/>
      <c r="Q22" s="30"/>
      <c r="R22" s="30"/>
    </row>
    <row r="23" spans="1:18" x14ac:dyDescent="0.2">
      <c r="A23" s="32"/>
      <c r="B23" s="32">
        <v>46153</v>
      </c>
      <c r="C23" s="41" t="s">
        <v>38</v>
      </c>
      <c r="D23" s="42">
        <v>45</v>
      </c>
      <c r="E23" s="25"/>
      <c r="F23" s="21" t="s">
        <v>40</v>
      </c>
      <c r="G23" s="21" t="s">
        <v>46</v>
      </c>
      <c r="H23" s="21"/>
      <c r="K23" s="46"/>
      <c r="L23" s="46"/>
      <c r="M23" s="51"/>
      <c r="N23" s="52"/>
      <c r="O23" s="51"/>
      <c r="P23" s="21"/>
      <c r="Q23" s="21"/>
      <c r="R23" s="21"/>
    </row>
    <row r="24" spans="1:18" x14ac:dyDescent="0.2">
      <c r="A24" s="32"/>
      <c r="B24" s="32" t="s">
        <v>44</v>
      </c>
      <c r="C24" s="41" t="s">
        <v>39</v>
      </c>
      <c r="D24" s="42">
        <v>25</v>
      </c>
      <c r="E24" s="25"/>
      <c r="F24" s="21" t="s">
        <v>40</v>
      </c>
      <c r="G24" s="21" t="s">
        <v>46</v>
      </c>
      <c r="H24" s="21"/>
      <c r="K24" s="46"/>
      <c r="L24" s="46"/>
      <c r="M24" s="51"/>
      <c r="N24" s="52"/>
      <c r="O24" s="51"/>
      <c r="P24" s="21"/>
      <c r="Q24" s="21"/>
      <c r="R24" s="21"/>
    </row>
    <row r="25" spans="1:18" x14ac:dyDescent="0.2">
      <c r="A25" s="32"/>
      <c r="B25" s="32" t="s">
        <v>44</v>
      </c>
      <c r="C25" s="41" t="s">
        <v>37</v>
      </c>
      <c r="D25" s="42">
        <v>40</v>
      </c>
      <c r="E25" s="25"/>
      <c r="F25" s="21" t="s">
        <v>40</v>
      </c>
      <c r="G25" s="21" t="s">
        <v>46</v>
      </c>
      <c r="H25" s="21"/>
      <c r="K25" s="46"/>
      <c r="L25" s="46"/>
      <c r="M25" s="51"/>
      <c r="N25" s="52"/>
      <c r="O25" s="51"/>
      <c r="P25" s="21"/>
      <c r="Q25" s="21"/>
      <c r="R25" s="21"/>
    </row>
    <row r="26" spans="1:18" x14ac:dyDescent="0.2">
      <c r="A26" s="32"/>
      <c r="B26" s="32" t="s">
        <v>44</v>
      </c>
      <c r="C26" s="41" t="s">
        <v>36</v>
      </c>
      <c r="D26" s="42">
        <v>35</v>
      </c>
      <c r="E26" s="25">
        <v>145</v>
      </c>
      <c r="F26" s="21" t="s">
        <v>45</v>
      </c>
      <c r="G26" s="21" t="s">
        <v>46</v>
      </c>
      <c r="H26" s="21"/>
      <c r="K26" s="46"/>
      <c r="L26" s="46"/>
      <c r="M26" s="51"/>
      <c r="N26" s="52"/>
      <c r="O26" s="51"/>
      <c r="P26" s="21"/>
      <c r="Q26" s="21"/>
      <c r="R26" s="21"/>
    </row>
    <row r="27" spans="1:18" x14ac:dyDescent="0.2">
      <c r="A27" s="36"/>
      <c r="B27" s="36">
        <v>46154</v>
      </c>
      <c r="C27" s="43" t="s">
        <v>38</v>
      </c>
      <c r="D27" s="44">
        <v>50</v>
      </c>
      <c r="E27" s="25"/>
      <c r="F27" s="21" t="s">
        <v>40</v>
      </c>
      <c r="G27" s="21" t="s">
        <v>46</v>
      </c>
      <c r="H27" s="21"/>
      <c r="K27" s="46"/>
      <c r="L27" s="46"/>
      <c r="M27" s="51"/>
      <c r="N27" s="52"/>
      <c r="O27" s="51"/>
      <c r="P27" s="21"/>
      <c r="Q27" s="21"/>
      <c r="R27" s="21"/>
    </row>
    <row r="28" spans="1:18" x14ac:dyDescent="0.2">
      <c r="A28" s="36"/>
      <c r="B28" s="36" t="s">
        <v>44</v>
      </c>
      <c r="C28" s="43" t="s">
        <v>39</v>
      </c>
      <c r="D28" s="44">
        <v>30</v>
      </c>
      <c r="E28" s="25"/>
      <c r="F28" s="21" t="s">
        <v>40</v>
      </c>
      <c r="G28" s="21" t="s">
        <v>46</v>
      </c>
      <c r="H28" s="21"/>
      <c r="K28" s="46"/>
      <c r="L28" s="46"/>
      <c r="M28" s="51"/>
      <c r="N28" s="52"/>
      <c r="O28" s="51"/>
      <c r="P28" s="21"/>
      <c r="Q28" s="21"/>
      <c r="R28" s="21"/>
    </row>
    <row r="29" spans="1:18" x14ac:dyDescent="0.2">
      <c r="A29" s="36"/>
      <c r="B29" s="36" t="s">
        <v>44</v>
      </c>
      <c r="C29" s="43" t="s">
        <v>37</v>
      </c>
      <c r="D29" s="44">
        <v>40</v>
      </c>
      <c r="E29" s="25"/>
      <c r="F29" s="21" t="s">
        <v>40</v>
      </c>
      <c r="G29" s="21" t="s">
        <v>46</v>
      </c>
      <c r="H29" s="21"/>
      <c r="K29" s="46"/>
      <c r="L29" s="46"/>
      <c r="M29" s="51"/>
      <c r="N29" s="52"/>
      <c r="O29" s="51"/>
      <c r="P29" s="21"/>
      <c r="Q29" s="21"/>
      <c r="R29" s="21"/>
    </row>
    <row r="30" spans="1:18" x14ac:dyDescent="0.2">
      <c r="A30" s="36"/>
      <c r="B30" s="36" t="s">
        <v>44</v>
      </c>
      <c r="C30" s="43" t="s">
        <v>36</v>
      </c>
      <c r="D30" s="44">
        <v>30</v>
      </c>
      <c r="E30" s="25"/>
      <c r="F30" s="21" t="s">
        <v>45</v>
      </c>
      <c r="G30" s="21" t="s">
        <v>46</v>
      </c>
      <c r="H30" s="21"/>
      <c r="K30" s="46"/>
      <c r="L30" s="46"/>
      <c r="M30" s="51"/>
      <c r="N30" s="52"/>
      <c r="O30" s="51"/>
      <c r="P30" s="21"/>
      <c r="Q30" s="21"/>
      <c r="R30" s="21"/>
    </row>
    <row r="31" spans="1:18" x14ac:dyDescent="0.2">
      <c r="A31" s="36"/>
      <c r="B31" s="36" t="s">
        <v>44</v>
      </c>
      <c r="C31" s="43" t="s">
        <v>43</v>
      </c>
      <c r="D31" s="44">
        <v>44</v>
      </c>
      <c r="E31" s="25">
        <v>194</v>
      </c>
      <c r="F31" s="21" t="s">
        <v>45</v>
      </c>
      <c r="G31" s="21" t="s">
        <v>46</v>
      </c>
      <c r="H31" s="21"/>
      <c r="K31" s="46"/>
      <c r="L31" s="46"/>
      <c r="M31" s="51"/>
      <c r="N31" s="52"/>
      <c r="O31" s="51"/>
      <c r="P31" s="21"/>
      <c r="Q31" s="21"/>
      <c r="R31" s="21"/>
    </row>
    <row r="32" spans="1:18" x14ac:dyDescent="0.2">
      <c r="A32" s="32"/>
      <c r="B32" s="32">
        <v>46155</v>
      </c>
      <c r="C32" s="41" t="s">
        <v>38</v>
      </c>
      <c r="D32" s="42">
        <v>41</v>
      </c>
      <c r="E32" s="25"/>
      <c r="F32" s="21" t="s">
        <v>40</v>
      </c>
      <c r="G32" s="21" t="s">
        <v>46</v>
      </c>
      <c r="H32" s="21"/>
      <c r="K32" s="46"/>
      <c r="L32" s="46"/>
      <c r="M32" s="51"/>
      <c r="N32" s="52"/>
      <c r="O32" s="51"/>
      <c r="P32" s="21"/>
      <c r="Q32" s="21"/>
      <c r="R32" s="21"/>
    </row>
    <row r="33" spans="1:18" x14ac:dyDescent="0.2">
      <c r="A33" s="32"/>
      <c r="B33" s="32" t="s">
        <v>44</v>
      </c>
      <c r="C33" s="41" t="s">
        <v>37</v>
      </c>
      <c r="D33" s="42">
        <v>40</v>
      </c>
      <c r="E33" s="25"/>
      <c r="F33" s="21" t="s">
        <v>40</v>
      </c>
      <c r="G33" s="21" t="s">
        <v>46</v>
      </c>
      <c r="H33" s="21"/>
      <c r="K33" s="46"/>
      <c r="L33" s="46"/>
      <c r="M33" s="51"/>
      <c r="N33" s="52"/>
      <c r="O33" s="51"/>
      <c r="P33" s="21"/>
      <c r="Q33" s="21"/>
      <c r="R33" s="21"/>
    </row>
    <row r="34" spans="1:18" x14ac:dyDescent="0.2">
      <c r="A34" s="32"/>
      <c r="B34" s="32" t="s">
        <v>44</v>
      </c>
      <c r="C34" s="41" t="s">
        <v>39</v>
      </c>
      <c r="D34" s="42">
        <v>25</v>
      </c>
      <c r="E34" s="25"/>
      <c r="F34" s="21" t="s">
        <v>40</v>
      </c>
      <c r="G34" s="21" t="s">
        <v>46</v>
      </c>
      <c r="H34" s="21"/>
      <c r="K34" s="46"/>
      <c r="L34" s="46"/>
      <c r="M34" s="51"/>
      <c r="N34" s="52"/>
      <c r="O34" s="51"/>
      <c r="P34" s="21"/>
      <c r="Q34" s="21"/>
      <c r="R34" s="21"/>
    </row>
    <row r="35" spans="1:18" x14ac:dyDescent="0.2">
      <c r="A35" s="32"/>
      <c r="B35" s="32" t="s">
        <v>44</v>
      </c>
      <c r="C35" s="41" t="s">
        <v>43</v>
      </c>
      <c r="D35" s="42">
        <v>25</v>
      </c>
      <c r="E35" s="25">
        <v>131</v>
      </c>
      <c r="F35" s="21" t="s">
        <v>45</v>
      </c>
      <c r="G35" s="21" t="s">
        <v>46</v>
      </c>
      <c r="H35" s="21"/>
      <c r="K35" s="46"/>
      <c r="L35" s="46"/>
      <c r="M35" s="51"/>
      <c r="N35" s="52"/>
      <c r="O35" s="51"/>
      <c r="P35" s="21"/>
      <c r="Q35" s="21"/>
      <c r="R35" s="21"/>
    </row>
    <row r="36" spans="1:18" x14ac:dyDescent="0.2">
      <c r="A36" s="36"/>
      <c r="B36" s="36">
        <v>46156</v>
      </c>
      <c r="C36" s="43" t="s">
        <v>38</v>
      </c>
      <c r="D36" s="44">
        <v>45</v>
      </c>
      <c r="E36" s="25"/>
      <c r="F36" s="21" t="s">
        <v>40</v>
      </c>
      <c r="G36" s="21" t="s">
        <v>46</v>
      </c>
      <c r="H36" s="21"/>
      <c r="K36" s="46"/>
      <c r="L36" s="46"/>
      <c r="M36" s="51"/>
      <c r="N36" s="52"/>
      <c r="O36" s="51"/>
      <c r="P36" s="21"/>
      <c r="Q36" s="21"/>
      <c r="R36" s="21"/>
    </row>
    <row r="37" spans="1:18" x14ac:dyDescent="0.2">
      <c r="A37" s="36"/>
      <c r="B37" s="36" t="s">
        <v>44</v>
      </c>
      <c r="C37" s="43" t="s">
        <v>39</v>
      </c>
      <c r="D37" s="44">
        <v>25</v>
      </c>
      <c r="E37" s="25"/>
      <c r="F37" s="21" t="s">
        <v>40</v>
      </c>
      <c r="G37" s="21" t="s">
        <v>46</v>
      </c>
      <c r="H37" s="21"/>
      <c r="K37" s="46"/>
      <c r="L37" s="46"/>
      <c r="M37" s="51"/>
      <c r="N37" s="52"/>
      <c r="O37" s="51"/>
      <c r="P37" s="21"/>
      <c r="Q37" s="21"/>
      <c r="R37" s="21"/>
    </row>
    <row r="38" spans="1:18" x14ac:dyDescent="0.2">
      <c r="A38" s="36"/>
      <c r="B38" s="36" t="s">
        <v>44</v>
      </c>
      <c r="C38" s="43" t="s">
        <v>36</v>
      </c>
      <c r="D38" s="44">
        <v>15</v>
      </c>
      <c r="E38" s="25"/>
      <c r="F38" s="21" t="s">
        <v>40</v>
      </c>
      <c r="G38" s="21" t="s">
        <v>46</v>
      </c>
      <c r="H38" s="21"/>
      <c r="K38" s="46"/>
      <c r="L38" s="46"/>
      <c r="M38" s="51"/>
      <c r="N38" s="52"/>
      <c r="O38" s="51"/>
      <c r="P38" s="21"/>
      <c r="Q38" s="21"/>
      <c r="R38" s="21"/>
    </row>
    <row r="39" spans="1:18" x14ac:dyDescent="0.2">
      <c r="A39" s="36"/>
      <c r="B39" s="36" t="s">
        <v>44</v>
      </c>
      <c r="C39" s="43" t="s">
        <v>43</v>
      </c>
      <c r="D39" s="44">
        <v>28</v>
      </c>
      <c r="E39" s="25">
        <v>113</v>
      </c>
      <c r="F39" s="21" t="s">
        <v>40</v>
      </c>
      <c r="G39" s="21" t="s">
        <v>46</v>
      </c>
      <c r="H39" s="21"/>
      <c r="K39" s="46"/>
      <c r="L39" s="46"/>
      <c r="M39" s="51"/>
      <c r="N39" s="52"/>
      <c r="O39" s="51"/>
      <c r="P39" s="21"/>
      <c r="Q39" s="21"/>
      <c r="R39" s="21"/>
    </row>
    <row r="40" spans="1:18" x14ac:dyDescent="0.2">
      <c r="A40" s="32"/>
      <c r="B40" s="32">
        <v>46157</v>
      </c>
      <c r="C40" s="41" t="s">
        <v>36</v>
      </c>
      <c r="D40" s="42">
        <v>16</v>
      </c>
      <c r="E40" s="25"/>
      <c r="F40" s="21" t="s">
        <v>45</v>
      </c>
      <c r="G40" s="21" t="s">
        <v>46</v>
      </c>
      <c r="H40" s="21"/>
      <c r="K40" s="46"/>
      <c r="L40" s="46"/>
      <c r="M40" s="51"/>
      <c r="N40" s="52"/>
      <c r="O40" s="51"/>
      <c r="P40" s="21"/>
      <c r="Q40" s="21"/>
      <c r="R40" s="21"/>
    </row>
    <row r="41" spans="1:18" x14ac:dyDescent="0.2">
      <c r="A41" s="32"/>
      <c r="B41" s="32" t="s">
        <v>47</v>
      </c>
      <c r="C41" s="41" t="s">
        <v>43</v>
      </c>
      <c r="D41" s="42">
        <v>24</v>
      </c>
      <c r="E41" s="25">
        <f>SUM(D40:D41)</f>
        <v>40</v>
      </c>
      <c r="F41" s="21" t="s">
        <v>45</v>
      </c>
      <c r="G41" s="21" t="s">
        <v>46</v>
      </c>
      <c r="H41" s="21"/>
      <c r="K41" s="46"/>
      <c r="L41" s="46"/>
      <c r="M41" s="51"/>
      <c r="N41" s="52"/>
      <c r="O41" s="51"/>
      <c r="P41" s="21"/>
      <c r="Q41" s="21"/>
      <c r="R41" s="21"/>
    </row>
    <row r="42" spans="1:18" x14ac:dyDescent="0.2">
      <c r="A42" s="36"/>
      <c r="B42" s="36">
        <v>46158</v>
      </c>
      <c r="C42" s="43" t="s">
        <v>38</v>
      </c>
      <c r="D42" s="44">
        <v>45</v>
      </c>
      <c r="E42" s="25"/>
      <c r="F42" s="21" t="s">
        <v>40</v>
      </c>
      <c r="G42" s="21" t="s">
        <v>46</v>
      </c>
      <c r="H42" s="21"/>
      <c r="K42" s="46"/>
      <c r="L42" s="46"/>
      <c r="M42" s="51"/>
      <c r="N42" s="52"/>
      <c r="O42" s="51"/>
      <c r="P42" s="21"/>
      <c r="Q42" s="21"/>
      <c r="R42" s="21"/>
    </row>
    <row r="43" spans="1:18" x14ac:dyDescent="0.2">
      <c r="A43" s="36"/>
      <c r="B43" s="36" t="s">
        <v>44</v>
      </c>
      <c r="C43" s="43" t="s">
        <v>39</v>
      </c>
      <c r="D43" s="44">
        <v>30</v>
      </c>
      <c r="E43" s="25"/>
      <c r="F43" s="21" t="s">
        <v>40</v>
      </c>
      <c r="G43" s="21" t="s">
        <v>46</v>
      </c>
      <c r="H43" s="21"/>
      <c r="K43" s="46"/>
      <c r="L43" s="46"/>
      <c r="M43" s="51"/>
      <c r="N43" s="52"/>
      <c r="O43" s="51"/>
      <c r="P43" s="21"/>
      <c r="Q43" s="21"/>
      <c r="R43" s="21"/>
    </row>
    <row r="44" spans="1:18" x14ac:dyDescent="0.2">
      <c r="A44" s="36"/>
      <c r="B44" s="36" t="s">
        <v>44</v>
      </c>
      <c r="C44" s="43" t="s">
        <v>37</v>
      </c>
      <c r="D44" s="44">
        <v>25</v>
      </c>
      <c r="E44" s="25"/>
      <c r="F44" s="21" t="s">
        <v>40</v>
      </c>
      <c r="G44" s="21" t="s">
        <v>46</v>
      </c>
      <c r="H44" s="21"/>
      <c r="K44" s="46"/>
      <c r="L44" s="46"/>
      <c r="M44" s="51"/>
      <c r="N44" s="52"/>
      <c r="O44" s="51"/>
      <c r="P44" s="21"/>
      <c r="Q44" s="21"/>
      <c r="R44" s="21"/>
    </row>
    <row r="45" spans="1:18" x14ac:dyDescent="0.2">
      <c r="A45" s="36"/>
      <c r="B45" s="36" t="s">
        <v>44</v>
      </c>
      <c r="C45" s="43" t="s">
        <v>36</v>
      </c>
      <c r="D45" s="44">
        <v>30</v>
      </c>
      <c r="E45" s="25">
        <v>130</v>
      </c>
      <c r="F45" s="21" t="s">
        <v>45</v>
      </c>
      <c r="G45" s="21" t="s">
        <v>46</v>
      </c>
      <c r="H45" s="21"/>
      <c r="K45" s="46"/>
      <c r="L45" s="46"/>
      <c r="M45" s="51"/>
      <c r="N45" s="52"/>
      <c r="O45" s="51"/>
      <c r="P45" s="21"/>
      <c r="Q45" s="21"/>
      <c r="R45" s="21"/>
    </row>
    <row r="46" spans="1:18" x14ac:dyDescent="0.2">
      <c r="A46" s="32"/>
      <c r="B46" s="32">
        <v>46160</v>
      </c>
      <c r="C46" s="41" t="s">
        <v>37</v>
      </c>
      <c r="D46" s="42">
        <v>50</v>
      </c>
      <c r="E46" s="25"/>
      <c r="F46" s="21" t="s">
        <v>40</v>
      </c>
      <c r="G46" s="21" t="s">
        <v>46</v>
      </c>
      <c r="H46" s="21" t="s">
        <v>48</v>
      </c>
      <c r="K46" s="46"/>
      <c r="L46" s="46"/>
      <c r="M46" s="51"/>
      <c r="N46" s="52"/>
      <c r="O46" s="51"/>
      <c r="P46" s="21"/>
      <c r="Q46" s="21"/>
      <c r="R46" s="21"/>
    </row>
    <row r="47" spans="1:18" x14ac:dyDescent="0.2">
      <c r="A47" s="32"/>
      <c r="B47" s="32" t="s">
        <v>47</v>
      </c>
      <c r="C47" s="41" t="s">
        <v>38</v>
      </c>
      <c r="D47" s="42">
        <v>55</v>
      </c>
      <c r="E47" s="25"/>
      <c r="F47" s="21" t="s">
        <v>40</v>
      </c>
      <c r="G47" s="21" t="s">
        <v>46</v>
      </c>
      <c r="H47" s="21" t="s">
        <v>49</v>
      </c>
      <c r="K47" s="46"/>
      <c r="L47" s="46"/>
      <c r="M47" s="51"/>
      <c r="N47" s="52"/>
      <c r="O47" s="51"/>
      <c r="P47" s="21"/>
      <c r="Q47" s="21"/>
      <c r="R47" s="21"/>
    </row>
    <row r="48" spans="1:18" x14ac:dyDescent="0.2">
      <c r="A48" s="32"/>
      <c r="B48" s="32" t="s">
        <v>47</v>
      </c>
      <c r="C48" s="41" t="s">
        <v>39</v>
      </c>
      <c r="D48" s="42">
        <v>30</v>
      </c>
      <c r="E48" s="25"/>
      <c r="F48" s="21" t="s">
        <v>40</v>
      </c>
      <c r="G48" s="21" t="s">
        <v>46</v>
      </c>
      <c r="H48" s="21"/>
      <c r="K48" s="46"/>
      <c r="L48" s="46"/>
      <c r="M48" s="51"/>
      <c r="N48" s="52"/>
      <c r="O48" s="51"/>
      <c r="P48" s="21"/>
      <c r="Q48" s="21"/>
      <c r="R48" s="21"/>
    </row>
    <row r="49" spans="1:18" x14ac:dyDescent="0.2">
      <c r="A49" s="32"/>
      <c r="B49" s="32" t="s">
        <v>47</v>
      </c>
      <c r="C49" s="41" t="s">
        <v>43</v>
      </c>
      <c r="D49" s="42">
        <v>30</v>
      </c>
      <c r="E49" s="25">
        <f>SUM(D46:D49)</f>
        <v>165</v>
      </c>
      <c r="F49" s="21" t="s">
        <v>45</v>
      </c>
      <c r="G49" s="21" t="s">
        <v>46</v>
      </c>
      <c r="H49" s="21"/>
      <c r="K49" s="46"/>
      <c r="L49" s="46"/>
      <c r="M49" s="51"/>
      <c r="N49" s="52"/>
      <c r="O49" s="51"/>
      <c r="P49" s="21"/>
      <c r="Q49" s="21"/>
      <c r="R49" s="21"/>
    </row>
    <row r="50" spans="1:18" x14ac:dyDescent="0.2">
      <c r="A50" s="36"/>
      <c r="B50" s="36">
        <v>46161</v>
      </c>
      <c r="C50" s="43" t="s">
        <v>37</v>
      </c>
      <c r="D50" s="44">
        <v>45</v>
      </c>
      <c r="E50" s="25"/>
      <c r="F50" s="21" t="s">
        <v>40</v>
      </c>
      <c r="G50" s="21" t="s">
        <v>46</v>
      </c>
      <c r="H50" s="21"/>
      <c r="K50" s="46"/>
      <c r="L50" s="46"/>
      <c r="M50" s="51"/>
      <c r="N50" s="52"/>
      <c r="O50" s="51"/>
      <c r="P50" s="21"/>
      <c r="Q50" s="21"/>
      <c r="R50" s="21"/>
    </row>
    <row r="51" spans="1:18" x14ac:dyDescent="0.2">
      <c r="A51" s="36" t="s">
        <v>52</v>
      </c>
      <c r="B51" s="36" t="s">
        <v>44</v>
      </c>
      <c r="C51" s="43" t="s">
        <v>39</v>
      </c>
      <c r="D51" s="44">
        <v>30</v>
      </c>
      <c r="E51" s="25"/>
      <c r="F51" s="21" t="s">
        <v>40</v>
      </c>
      <c r="G51" s="21" t="s">
        <v>46</v>
      </c>
      <c r="H51" s="21"/>
      <c r="K51" s="46"/>
      <c r="L51" s="46"/>
      <c r="M51" s="51"/>
      <c r="N51" s="52"/>
      <c r="O51" s="51"/>
      <c r="P51" s="21"/>
      <c r="Q51" s="21"/>
      <c r="R51" s="21"/>
    </row>
    <row r="52" spans="1:18" x14ac:dyDescent="0.2">
      <c r="A52" s="36" t="s">
        <v>53</v>
      </c>
      <c r="B52" s="36" t="s">
        <v>44</v>
      </c>
      <c r="C52" s="43" t="s">
        <v>38</v>
      </c>
      <c r="D52" s="44">
        <v>40</v>
      </c>
      <c r="E52" s="25"/>
      <c r="F52" s="21" t="s">
        <v>40</v>
      </c>
      <c r="G52" s="21" t="s">
        <v>46</v>
      </c>
      <c r="H52" s="21"/>
      <c r="K52" s="46"/>
      <c r="L52" s="46"/>
      <c r="M52" s="51"/>
      <c r="N52" s="52"/>
      <c r="O52" s="51"/>
      <c r="P52" s="21"/>
      <c r="Q52" s="21"/>
      <c r="R52" s="21"/>
    </row>
    <row r="53" spans="1:18" x14ac:dyDescent="0.2">
      <c r="A53" s="36" t="s">
        <v>54</v>
      </c>
      <c r="B53" s="36" t="s">
        <v>44</v>
      </c>
      <c r="C53" s="43" t="s">
        <v>36</v>
      </c>
      <c r="D53" s="44">
        <v>12</v>
      </c>
      <c r="E53" s="25"/>
      <c r="F53" s="21" t="s">
        <v>45</v>
      </c>
      <c r="G53" s="21" t="s">
        <v>46</v>
      </c>
      <c r="H53" s="21"/>
      <c r="K53" s="46"/>
      <c r="L53" s="46"/>
      <c r="M53" s="51"/>
      <c r="N53" s="52"/>
      <c r="O53" s="51"/>
      <c r="P53" s="21"/>
      <c r="Q53" s="21"/>
      <c r="R53" s="21"/>
    </row>
    <row r="54" spans="1:18" x14ac:dyDescent="0.2">
      <c r="A54" s="36" t="s">
        <v>55</v>
      </c>
      <c r="B54" s="36" t="s">
        <v>44</v>
      </c>
      <c r="C54" s="43" t="s">
        <v>43</v>
      </c>
      <c r="D54" s="44">
        <v>30</v>
      </c>
      <c r="E54" s="25">
        <v>157</v>
      </c>
      <c r="F54" s="21" t="s">
        <v>45</v>
      </c>
      <c r="G54" s="21" t="s">
        <v>46</v>
      </c>
      <c r="H54" s="21"/>
      <c r="K54" s="46"/>
      <c r="L54" s="46"/>
      <c r="M54" s="51"/>
      <c r="N54" s="52"/>
      <c r="O54" s="51"/>
      <c r="P54" s="21"/>
      <c r="Q54" s="21"/>
      <c r="R54" s="21"/>
    </row>
    <row r="55" spans="1:18" x14ac:dyDescent="0.2">
      <c r="A55" s="54" t="s">
        <v>53</v>
      </c>
      <c r="B55" s="54">
        <v>46162</v>
      </c>
      <c r="C55" s="55" t="s">
        <v>38</v>
      </c>
      <c r="D55" s="56">
        <v>45</v>
      </c>
      <c r="E55" s="25"/>
      <c r="F55" s="21" t="s">
        <v>40</v>
      </c>
      <c r="G55" s="21">
        <v>1.8</v>
      </c>
      <c r="H55" s="21"/>
      <c r="K55" s="46"/>
      <c r="L55" s="46"/>
      <c r="M55" s="51"/>
      <c r="N55" s="52"/>
      <c r="O55" s="51"/>
      <c r="P55" s="21"/>
      <c r="Q55" s="21"/>
      <c r="R55" s="21"/>
    </row>
    <row r="56" spans="1:18" x14ac:dyDescent="0.2">
      <c r="A56" s="54" t="s">
        <v>56</v>
      </c>
      <c r="B56" s="54" t="s">
        <v>47</v>
      </c>
      <c r="C56" s="55" t="s">
        <v>37</v>
      </c>
      <c r="D56" s="56">
        <v>35</v>
      </c>
      <c r="E56" s="25"/>
      <c r="F56" s="21" t="s">
        <v>40</v>
      </c>
      <c r="G56" s="21">
        <v>1.8</v>
      </c>
      <c r="H56" s="21"/>
      <c r="K56" s="46"/>
      <c r="L56" s="46"/>
      <c r="M56" s="51"/>
      <c r="N56" s="52"/>
      <c r="O56" s="51"/>
      <c r="P56" s="21"/>
      <c r="Q56" s="21"/>
      <c r="R56" s="21"/>
    </row>
    <row r="57" spans="1:18" x14ac:dyDescent="0.2">
      <c r="A57" s="54" t="s">
        <v>57</v>
      </c>
      <c r="B57" s="54" t="s">
        <v>47</v>
      </c>
      <c r="C57" s="55" t="s">
        <v>39</v>
      </c>
      <c r="D57" s="56">
        <v>45</v>
      </c>
      <c r="E57" s="25"/>
      <c r="F57" s="21" t="s">
        <v>40</v>
      </c>
      <c r="G57" s="21">
        <v>1.8</v>
      </c>
      <c r="H57" s="21"/>
      <c r="K57" s="46"/>
      <c r="L57" s="46"/>
      <c r="M57" s="51"/>
      <c r="N57" s="52"/>
      <c r="O57" s="51"/>
      <c r="P57" s="21"/>
      <c r="Q57" s="21"/>
      <c r="R57" s="21"/>
    </row>
    <row r="58" spans="1:18" x14ac:dyDescent="0.2">
      <c r="A58" s="54" t="s">
        <v>55</v>
      </c>
      <c r="B58" s="54" t="s">
        <v>47</v>
      </c>
      <c r="C58" s="55" t="s">
        <v>43</v>
      </c>
      <c r="D58" s="56">
        <v>32</v>
      </c>
      <c r="E58" s="25">
        <f>SUM(D55:D58)</f>
        <v>157</v>
      </c>
      <c r="F58" s="21" t="s">
        <v>45</v>
      </c>
      <c r="G58" s="21">
        <v>1.8</v>
      </c>
      <c r="H58" s="21" t="s">
        <v>58</v>
      </c>
      <c r="K58" s="46"/>
      <c r="L58" s="46"/>
      <c r="M58" s="51"/>
      <c r="N58" s="52"/>
      <c r="O58" s="51"/>
      <c r="P58" s="21"/>
      <c r="Q58" s="21"/>
      <c r="R58" s="21"/>
    </row>
    <row r="59" spans="1:18" x14ac:dyDescent="0.2">
      <c r="A59" s="36" t="s">
        <v>59</v>
      </c>
      <c r="B59" s="36">
        <v>46163</v>
      </c>
      <c r="C59" s="43" t="s">
        <v>38</v>
      </c>
      <c r="D59" s="44">
        <v>40</v>
      </c>
      <c r="E59" s="25"/>
      <c r="F59" s="21" t="s">
        <v>40</v>
      </c>
      <c r="G59" s="21" t="s">
        <v>46</v>
      </c>
      <c r="H59" s="21"/>
      <c r="K59" s="46"/>
      <c r="L59" s="46"/>
      <c r="M59" s="51"/>
      <c r="N59" s="52"/>
      <c r="O59" s="51"/>
      <c r="P59" s="21"/>
      <c r="Q59" s="21"/>
      <c r="R59" s="21"/>
    </row>
    <row r="60" spans="1:18" x14ac:dyDescent="0.2">
      <c r="A60" s="36" t="s">
        <v>60</v>
      </c>
      <c r="B60" s="36" t="s">
        <v>44</v>
      </c>
      <c r="C60" s="43" t="s">
        <v>37</v>
      </c>
      <c r="D60" s="44">
        <v>30</v>
      </c>
      <c r="E60" s="25"/>
      <c r="F60" s="21" t="s">
        <v>40</v>
      </c>
      <c r="G60" s="21" t="s">
        <v>63</v>
      </c>
      <c r="H60" s="21"/>
      <c r="K60" s="46"/>
      <c r="L60" s="46"/>
      <c r="M60" s="51"/>
      <c r="N60" s="52"/>
      <c r="O60" s="51"/>
      <c r="P60" s="21"/>
      <c r="Q60" s="21"/>
      <c r="R60" s="21"/>
    </row>
    <row r="61" spans="1:18" x14ac:dyDescent="0.2">
      <c r="A61" s="36" t="s">
        <v>61</v>
      </c>
      <c r="B61" s="36" t="s">
        <v>44</v>
      </c>
      <c r="C61" s="43" t="s">
        <v>39</v>
      </c>
      <c r="D61" s="44">
        <v>20</v>
      </c>
      <c r="E61" s="25"/>
      <c r="F61" s="21" t="s">
        <v>40</v>
      </c>
      <c r="G61" s="21" t="s">
        <v>64</v>
      </c>
      <c r="H61" s="21"/>
      <c r="K61" s="46"/>
      <c r="L61" s="46"/>
      <c r="M61" s="51"/>
      <c r="N61" s="52"/>
      <c r="O61" s="51"/>
      <c r="P61" s="21"/>
      <c r="Q61" s="21"/>
      <c r="R61" s="21"/>
    </row>
    <row r="62" spans="1:18" x14ac:dyDescent="0.2">
      <c r="A62" s="36" t="s">
        <v>62</v>
      </c>
      <c r="B62" s="36" t="s">
        <v>44</v>
      </c>
      <c r="C62" s="43" t="s">
        <v>43</v>
      </c>
      <c r="D62" s="44">
        <v>30</v>
      </c>
      <c r="E62" s="25">
        <v>120</v>
      </c>
      <c r="F62" s="21" t="s">
        <v>45</v>
      </c>
      <c r="G62" s="21" t="s">
        <v>63</v>
      </c>
      <c r="H62" s="21"/>
      <c r="K62" s="46"/>
      <c r="L62" s="46"/>
      <c r="M62" s="51"/>
      <c r="N62" s="52"/>
      <c r="O62" s="51"/>
      <c r="P62" s="21"/>
      <c r="Q62" s="21"/>
      <c r="R62" s="21"/>
    </row>
    <row r="63" spans="1:18" x14ac:dyDescent="0.2">
      <c r="A63" s="29"/>
      <c r="B63" s="29"/>
      <c r="C63" s="22"/>
      <c r="D63" s="21"/>
      <c r="E63" s="25"/>
      <c r="F63" s="21"/>
      <c r="G63" s="21"/>
      <c r="H63" s="21"/>
      <c r="K63" s="46"/>
      <c r="L63" s="46"/>
      <c r="M63" s="51"/>
      <c r="N63" s="52"/>
      <c r="O63" s="51"/>
      <c r="P63" s="21"/>
      <c r="Q63" s="21"/>
      <c r="R63" s="21"/>
    </row>
    <row r="64" spans="1:18" x14ac:dyDescent="0.2">
      <c r="A64" s="29"/>
      <c r="B64" s="29"/>
      <c r="C64" s="22"/>
      <c r="D64" s="21"/>
      <c r="E64" s="25"/>
      <c r="F64" s="21"/>
      <c r="G64" s="21"/>
      <c r="H64" s="21"/>
      <c r="K64" s="46"/>
      <c r="L64" s="46"/>
      <c r="M64" s="51"/>
      <c r="N64" s="52"/>
      <c r="O64" s="51"/>
      <c r="P64" s="21"/>
      <c r="Q64" s="21"/>
      <c r="R64" s="21"/>
    </row>
    <row r="65" spans="1:18" x14ac:dyDescent="0.2">
      <c r="A65" s="29"/>
      <c r="B65" s="29"/>
      <c r="C65" s="22"/>
      <c r="D65" s="21"/>
      <c r="E65" s="25"/>
      <c r="F65" s="21"/>
      <c r="G65" s="21"/>
      <c r="H65" s="21"/>
      <c r="K65" s="46"/>
      <c r="L65" s="46"/>
      <c r="M65" s="51"/>
      <c r="N65" s="52"/>
      <c r="O65" s="51"/>
      <c r="P65" s="21"/>
      <c r="Q65" s="21"/>
      <c r="R65" s="21"/>
    </row>
    <row r="66" spans="1:18" x14ac:dyDescent="0.2">
      <c r="A66" s="29"/>
      <c r="B66" s="29"/>
      <c r="C66" s="22"/>
      <c r="D66" s="21"/>
      <c r="E66" s="25"/>
      <c r="F66" s="21"/>
      <c r="G66" s="21"/>
      <c r="H66" s="21"/>
      <c r="K66" s="46"/>
      <c r="L66" s="46"/>
      <c r="M66" s="51"/>
      <c r="N66" s="52"/>
      <c r="O66" s="51"/>
      <c r="P66" s="21"/>
      <c r="Q66" s="21"/>
      <c r="R66" s="21"/>
    </row>
    <row r="67" spans="1:18" x14ac:dyDescent="0.2">
      <c r="A67" s="29"/>
      <c r="B67" s="29"/>
      <c r="C67" s="22"/>
      <c r="D67" s="21"/>
      <c r="E67" s="25"/>
      <c r="F67" s="21"/>
      <c r="G67" s="21"/>
      <c r="H67" s="21"/>
      <c r="K67" s="46"/>
      <c r="L67" s="46"/>
      <c r="M67" s="51"/>
      <c r="N67" s="52"/>
      <c r="O67" s="51"/>
      <c r="P67" s="21"/>
      <c r="Q67" s="21"/>
      <c r="R67" s="21"/>
    </row>
    <row r="68" spans="1:18" x14ac:dyDescent="0.2">
      <c r="A68" s="29"/>
      <c r="B68" s="29"/>
      <c r="C68" s="22"/>
      <c r="D68" s="21"/>
      <c r="E68" s="25"/>
      <c r="F68" s="21"/>
      <c r="G68" s="21"/>
      <c r="H68" s="21"/>
      <c r="K68" s="46"/>
      <c r="L68" s="46"/>
      <c r="M68" s="51"/>
      <c r="N68" s="52"/>
      <c r="O68" s="51"/>
      <c r="P68" s="21"/>
      <c r="Q68" s="21"/>
      <c r="R68" s="21"/>
    </row>
    <row r="69" spans="1:18" x14ac:dyDescent="0.2">
      <c r="A69" s="29"/>
      <c r="B69" s="29"/>
      <c r="C69" s="22"/>
      <c r="D69" s="21"/>
      <c r="E69" s="25"/>
      <c r="F69" s="21"/>
      <c r="G69" s="21"/>
      <c r="H69" s="21"/>
      <c r="K69" s="46"/>
      <c r="L69" s="46"/>
      <c r="M69" s="51"/>
      <c r="N69" s="52"/>
      <c r="O69" s="51"/>
      <c r="P69" s="21"/>
      <c r="Q69" s="21"/>
      <c r="R69" s="21"/>
    </row>
    <row r="70" spans="1:18" x14ac:dyDescent="0.2">
      <c r="A70" s="29"/>
      <c r="B70" s="29"/>
      <c r="C70" s="22"/>
      <c r="D70" s="21"/>
      <c r="E70" s="25"/>
      <c r="F70" s="21"/>
      <c r="G70" s="21"/>
      <c r="H70" s="21"/>
      <c r="K70" s="46"/>
      <c r="L70" s="46"/>
      <c r="M70" s="51"/>
      <c r="N70" s="52"/>
      <c r="O70" s="51"/>
      <c r="P70" s="21"/>
      <c r="Q70" s="21"/>
      <c r="R70" s="21"/>
    </row>
    <row r="71" spans="1:18" x14ac:dyDescent="0.2">
      <c r="A71" s="29"/>
      <c r="B71" s="29"/>
      <c r="C71" s="22"/>
      <c r="D71" s="21"/>
      <c r="E71" s="25"/>
      <c r="F71" s="21"/>
      <c r="G71" s="21"/>
      <c r="H71" s="21"/>
      <c r="K71" s="46"/>
      <c r="L71" s="46"/>
      <c r="M71" s="51"/>
      <c r="N71" s="52"/>
      <c r="O71" s="51"/>
      <c r="P71" s="21"/>
      <c r="Q71" s="21"/>
      <c r="R71" s="21"/>
    </row>
    <row r="72" spans="1:18" x14ac:dyDescent="0.2">
      <c r="A72" s="29"/>
      <c r="B72" s="29"/>
      <c r="C72" s="22"/>
      <c r="D72" s="21"/>
      <c r="E72" s="25"/>
      <c r="F72" s="21"/>
      <c r="G72" s="21"/>
      <c r="H72" s="21"/>
      <c r="K72" s="46"/>
      <c r="L72" s="46"/>
      <c r="M72" s="51"/>
      <c r="N72" s="52"/>
      <c r="O72" s="51"/>
      <c r="P72" s="21"/>
      <c r="Q72" s="21"/>
      <c r="R72" s="21"/>
    </row>
    <row r="73" spans="1:18" x14ac:dyDescent="0.2">
      <c r="A73" s="29"/>
      <c r="B73" s="29"/>
      <c r="C73" s="22"/>
      <c r="D73" s="21"/>
      <c r="E73" s="25"/>
      <c r="F73" s="21"/>
      <c r="G73" s="21"/>
      <c r="H73" s="21"/>
      <c r="K73" s="46"/>
      <c r="L73" s="46"/>
      <c r="M73" s="51"/>
      <c r="N73" s="52"/>
      <c r="O73" s="51"/>
      <c r="P73" s="21"/>
      <c r="Q73" s="21"/>
      <c r="R73" s="21"/>
    </row>
    <row r="74" spans="1:18" x14ac:dyDescent="0.2">
      <c r="A74" s="29"/>
      <c r="B74" s="29"/>
      <c r="C74" s="22"/>
      <c r="D74" s="21"/>
      <c r="E74" s="25"/>
      <c r="F74" s="21"/>
      <c r="G74" s="21"/>
      <c r="H74" s="21"/>
      <c r="K74" s="46"/>
      <c r="L74" s="46"/>
      <c r="M74" s="51"/>
      <c r="N74" s="52"/>
      <c r="O74" s="51"/>
      <c r="P74" s="21"/>
      <c r="Q74" s="21"/>
      <c r="R74" s="21"/>
    </row>
    <row r="75" spans="1:18" x14ac:dyDescent="0.2">
      <c r="A75" s="29"/>
      <c r="B75" s="29"/>
      <c r="C75" s="22"/>
      <c r="D75" s="21"/>
      <c r="E75" s="25"/>
      <c r="F75" s="21"/>
      <c r="G75" s="21"/>
      <c r="H75" s="21"/>
      <c r="K75" s="46"/>
      <c r="L75" s="46"/>
      <c r="M75" s="51"/>
      <c r="N75" s="52"/>
      <c r="O75" s="51"/>
      <c r="P75" s="21"/>
      <c r="Q75" s="21"/>
      <c r="R75" s="21"/>
    </row>
    <row r="76" spans="1:18" x14ac:dyDescent="0.2">
      <c r="A76" s="29"/>
      <c r="B76" s="29"/>
      <c r="C76" s="22"/>
      <c r="D76" s="21"/>
      <c r="E76" s="25"/>
      <c r="F76" s="21"/>
      <c r="G76" s="21"/>
      <c r="H76" s="21"/>
      <c r="K76" s="46"/>
      <c r="L76" s="46"/>
      <c r="M76" s="51"/>
      <c r="N76" s="52"/>
      <c r="O76" s="51"/>
      <c r="P76" s="21"/>
      <c r="Q76" s="21"/>
      <c r="R76" s="21"/>
    </row>
    <row r="77" spans="1:18" x14ac:dyDescent="0.2">
      <c r="A77" s="29"/>
      <c r="B77" s="29"/>
      <c r="C77" s="22"/>
      <c r="D77" s="21"/>
      <c r="E77" s="25"/>
      <c r="F77" s="21"/>
      <c r="G77" s="21"/>
      <c r="H77" s="21"/>
      <c r="K77" s="46"/>
      <c r="L77" s="46"/>
      <c r="M77" s="51"/>
      <c r="N77" s="52"/>
      <c r="O77" s="51"/>
      <c r="P77" s="21"/>
      <c r="Q77" s="21"/>
      <c r="R77" s="21"/>
    </row>
    <row r="78" spans="1:18" x14ac:dyDescent="0.2">
      <c r="A78" s="29"/>
      <c r="B78" s="29"/>
      <c r="C78" s="22"/>
      <c r="D78" s="21"/>
      <c r="E78" s="25"/>
      <c r="F78" s="21"/>
      <c r="G78" s="21"/>
      <c r="H78" s="21"/>
      <c r="K78" s="46"/>
      <c r="L78" s="46"/>
      <c r="M78" s="51"/>
      <c r="N78" s="52"/>
      <c r="O78" s="51"/>
      <c r="P78" s="21"/>
      <c r="Q78" s="21"/>
      <c r="R78" s="21"/>
    </row>
    <row r="79" spans="1:18" x14ac:dyDescent="0.2">
      <c r="A79" s="29"/>
      <c r="B79" s="29"/>
      <c r="C79" s="22"/>
      <c r="D79" s="21"/>
      <c r="E79" s="25"/>
      <c r="F79" s="21"/>
      <c r="G79" s="21"/>
      <c r="H79" s="21"/>
      <c r="K79" s="46"/>
      <c r="L79" s="46"/>
      <c r="M79" s="51"/>
      <c r="N79" s="52"/>
      <c r="O79" s="51"/>
      <c r="P79" s="21"/>
      <c r="Q79" s="21"/>
      <c r="R79" s="21"/>
    </row>
    <row r="80" spans="1:18" x14ac:dyDescent="0.2">
      <c r="A80" s="29"/>
      <c r="B80" s="29"/>
      <c r="C80" s="22"/>
      <c r="D80" s="21"/>
      <c r="E80" s="25"/>
      <c r="F80" s="21"/>
      <c r="G80" s="21"/>
      <c r="H80" s="21"/>
      <c r="K80" s="46"/>
      <c r="L80" s="46"/>
      <c r="M80" s="51"/>
      <c r="N80" s="52"/>
      <c r="O80" s="51"/>
      <c r="P80" s="21"/>
      <c r="Q80" s="21"/>
      <c r="R80" s="21"/>
    </row>
    <row r="81" spans="1:18" x14ac:dyDescent="0.2">
      <c r="A81" s="29"/>
      <c r="B81" s="29"/>
      <c r="C81" s="22"/>
      <c r="D81" s="21"/>
      <c r="E81" s="25"/>
      <c r="F81" s="21"/>
      <c r="G81" s="21"/>
      <c r="H81" s="21"/>
      <c r="K81" s="46"/>
      <c r="L81" s="46"/>
      <c r="M81" s="51"/>
      <c r="N81" s="52"/>
      <c r="O81" s="51"/>
      <c r="P81" s="21"/>
      <c r="Q81" s="21"/>
      <c r="R81" s="21"/>
    </row>
    <row r="82" spans="1:18" x14ac:dyDescent="0.2">
      <c r="A82" s="29"/>
      <c r="B82" s="29"/>
      <c r="C82" s="22"/>
      <c r="D82" s="21"/>
      <c r="E82" s="25"/>
      <c r="F82" s="21"/>
      <c r="G82" s="21"/>
      <c r="H82" s="21"/>
      <c r="K82" s="46"/>
      <c r="L82" s="46"/>
      <c r="M82" s="51"/>
      <c r="N82" s="52"/>
      <c r="O82" s="51"/>
      <c r="P82" s="21"/>
      <c r="Q82" s="21"/>
      <c r="R82" s="21"/>
    </row>
    <row r="83" spans="1:18" x14ac:dyDescent="0.2">
      <c r="A83" s="29"/>
      <c r="B83" s="29"/>
      <c r="C83" s="22"/>
      <c r="D83" s="21"/>
      <c r="E83" s="25"/>
      <c r="F83" s="21"/>
      <c r="G83" s="21"/>
      <c r="H83" s="21"/>
      <c r="K83" s="46"/>
      <c r="L83" s="46"/>
      <c r="M83" s="51"/>
      <c r="N83" s="52"/>
      <c r="O83" s="51"/>
      <c r="P83" s="21"/>
      <c r="Q83" s="21"/>
      <c r="R83" s="21"/>
    </row>
    <row r="84" spans="1:18" x14ac:dyDescent="0.2">
      <c r="A84" s="29"/>
      <c r="B84" s="29"/>
      <c r="C84" s="22"/>
      <c r="D84" s="21"/>
      <c r="E84" s="25"/>
      <c r="F84" s="21"/>
      <c r="G84" s="21"/>
      <c r="H84" s="21"/>
      <c r="K84" s="46"/>
      <c r="L84" s="46"/>
      <c r="M84" s="51"/>
      <c r="N84" s="52"/>
      <c r="O84" s="51"/>
      <c r="P84" s="21"/>
      <c r="Q84" s="21"/>
      <c r="R84" s="21"/>
    </row>
    <row r="85" spans="1:18" x14ac:dyDescent="0.2">
      <c r="A85" s="29"/>
      <c r="B85" s="29"/>
      <c r="C85" s="22"/>
      <c r="D85" s="21"/>
      <c r="E85" s="25"/>
      <c r="F85" s="21"/>
      <c r="G85" s="21"/>
      <c r="H85" s="21"/>
      <c r="K85" s="46"/>
      <c r="L85" s="46"/>
      <c r="M85" s="51"/>
      <c r="N85" s="52"/>
      <c r="O85" s="51"/>
      <c r="P85" s="21"/>
      <c r="Q85" s="21"/>
      <c r="R85" s="21"/>
    </row>
    <row r="86" spans="1:18" x14ac:dyDescent="0.2">
      <c r="A86" s="29"/>
      <c r="B86" s="29"/>
      <c r="C86" s="22"/>
      <c r="D86" s="21"/>
      <c r="E86" s="25"/>
      <c r="F86" s="21"/>
      <c r="G86" s="21"/>
      <c r="H86" s="21"/>
      <c r="K86" s="46"/>
      <c r="L86" s="46"/>
      <c r="M86" s="51"/>
      <c r="N86" s="52"/>
      <c r="O86" s="51"/>
      <c r="P86" s="21"/>
      <c r="Q86" s="21"/>
      <c r="R86" s="21"/>
    </row>
    <row r="87" spans="1:18" x14ac:dyDescent="0.2">
      <c r="A87" s="29"/>
      <c r="B87" s="29"/>
      <c r="C87" s="22"/>
      <c r="D87" s="21"/>
      <c r="E87" s="25"/>
      <c r="F87" s="21"/>
      <c r="G87" s="21"/>
      <c r="H87" s="21"/>
      <c r="K87" s="46"/>
      <c r="L87" s="46"/>
      <c r="M87" s="51"/>
      <c r="N87" s="52"/>
      <c r="O87" s="51"/>
      <c r="P87" s="21"/>
      <c r="Q87" s="21"/>
      <c r="R87" s="21"/>
    </row>
    <row r="88" spans="1:18" x14ac:dyDescent="0.2">
      <c r="A88" s="29"/>
      <c r="B88" s="29"/>
      <c r="C88" s="22"/>
      <c r="D88" s="21"/>
      <c r="E88" s="25"/>
      <c r="F88" s="21"/>
      <c r="G88" s="21"/>
      <c r="H88" s="21"/>
      <c r="K88" s="46"/>
      <c r="L88" s="46"/>
      <c r="M88" s="51"/>
      <c r="N88" s="52"/>
      <c r="O88" s="51"/>
      <c r="P88" s="21"/>
      <c r="Q88" s="21"/>
      <c r="R88" s="21"/>
    </row>
    <row r="89" spans="1:18" x14ac:dyDescent="0.2">
      <c r="A89" s="29"/>
      <c r="B89" s="29"/>
      <c r="C89" s="22"/>
      <c r="D89" s="21"/>
      <c r="E89" s="25"/>
      <c r="F89" s="21"/>
      <c r="G89" s="21"/>
      <c r="H89" s="21"/>
      <c r="K89" s="46"/>
      <c r="L89" s="46"/>
      <c r="M89" s="51"/>
      <c r="N89" s="52"/>
      <c r="O89" s="51"/>
      <c r="P89" s="21"/>
      <c r="Q89" s="21"/>
      <c r="R89" s="21"/>
    </row>
    <row r="90" spans="1:18" x14ac:dyDescent="0.2">
      <c r="A90" s="29"/>
      <c r="B90" s="29"/>
      <c r="C90" s="22"/>
      <c r="D90" s="21"/>
      <c r="E90" s="25"/>
      <c r="F90" s="21"/>
      <c r="G90" s="21"/>
      <c r="H90" s="21"/>
      <c r="K90" s="46"/>
      <c r="L90" s="46"/>
      <c r="M90" s="51"/>
      <c r="N90" s="52"/>
      <c r="O90" s="51"/>
      <c r="P90" s="21"/>
      <c r="Q90" s="21"/>
      <c r="R90" s="21"/>
    </row>
    <row r="91" spans="1:18" x14ac:dyDescent="0.2">
      <c r="A91" s="29"/>
      <c r="B91" s="29"/>
      <c r="C91" s="22"/>
      <c r="D91" s="21"/>
      <c r="E91" s="25"/>
      <c r="F91" s="21"/>
      <c r="G91" s="21"/>
      <c r="H91" s="21"/>
      <c r="K91" s="46"/>
      <c r="L91" s="46"/>
      <c r="M91" s="51"/>
      <c r="N91" s="52"/>
      <c r="O91" s="51"/>
      <c r="P91" s="21"/>
      <c r="Q91" s="21"/>
      <c r="R91" s="21"/>
    </row>
    <row r="92" spans="1:18" x14ac:dyDescent="0.2">
      <c r="A92" s="29"/>
      <c r="B92" s="29"/>
      <c r="C92" s="22"/>
      <c r="D92" s="21"/>
      <c r="E92" s="25"/>
      <c r="F92" s="21"/>
      <c r="G92" s="21"/>
      <c r="H92" s="21"/>
      <c r="K92" s="46"/>
      <c r="L92" s="46"/>
      <c r="M92" s="51"/>
      <c r="N92" s="52"/>
      <c r="O92" s="51"/>
      <c r="P92" s="21"/>
      <c r="Q92" s="21"/>
      <c r="R92" s="21"/>
    </row>
    <row r="93" spans="1:18" x14ac:dyDescent="0.2">
      <c r="A93" s="29"/>
      <c r="B93" s="29"/>
      <c r="C93" s="22"/>
      <c r="D93" s="21"/>
      <c r="E93" s="25"/>
      <c r="F93" s="21"/>
      <c r="G93" s="21"/>
      <c r="H93" s="21"/>
      <c r="K93" s="46"/>
      <c r="L93" s="46"/>
      <c r="M93" s="51"/>
      <c r="N93" s="52"/>
      <c r="O93" s="51"/>
      <c r="P93" s="21"/>
      <c r="Q93" s="21"/>
      <c r="R93" s="21"/>
    </row>
    <row r="94" spans="1:18" x14ac:dyDescent="0.2">
      <c r="A94" s="29"/>
      <c r="B94" s="29"/>
      <c r="C94" s="22"/>
      <c r="D94" s="21"/>
      <c r="E94" s="25"/>
      <c r="F94" s="21"/>
      <c r="G94" s="21"/>
      <c r="H94" s="21"/>
      <c r="K94" s="46"/>
      <c r="L94" s="46"/>
      <c r="M94" s="51"/>
      <c r="N94" s="52"/>
      <c r="O94" s="51"/>
      <c r="P94" s="21"/>
      <c r="Q94" s="21"/>
      <c r="R94" s="21"/>
    </row>
    <row r="95" spans="1:18" x14ac:dyDescent="0.2">
      <c r="A95" s="29"/>
      <c r="B95" s="29"/>
      <c r="C95" s="22"/>
      <c r="D95" s="21"/>
      <c r="E95" s="25"/>
      <c r="F95" s="21"/>
      <c r="G95" s="21"/>
      <c r="H95" s="21"/>
      <c r="K95" s="46"/>
      <c r="L95" s="46"/>
      <c r="M95" s="51"/>
      <c r="N95" s="52"/>
      <c r="O95" s="51"/>
      <c r="P95" s="21"/>
      <c r="Q95" s="21"/>
      <c r="R95" s="21"/>
    </row>
    <row r="96" spans="1:18" x14ac:dyDescent="0.2">
      <c r="A96" s="29"/>
      <c r="B96" s="29"/>
      <c r="C96" s="22"/>
      <c r="D96" s="21"/>
      <c r="E96" s="25"/>
      <c r="F96" s="21"/>
      <c r="G96" s="21"/>
      <c r="H96" s="21"/>
      <c r="K96" s="46"/>
      <c r="L96" s="46"/>
      <c r="M96" s="51"/>
      <c r="N96" s="52"/>
      <c r="O96" s="51"/>
      <c r="P96" s="21"/>
      <c r="Q96" s="21"/>
      <c r="R96" s="21"/>
    </row>
    <row r="97" spans="1:18" x14ac:dyDescent="0.2">
      <c r="A97" s="23"/>
      <c r="B97" s="23"/>
      <c r="C97" s="22"/>
      <c r="D97" s="21"/>
      <c r="E97" s="25"/>
      <c r="F97" s="21"/>
      <c r="G97" s="21"/>
      <c r="H97" s="21"/>
      <c r="K97" s="53"/>
      <c r="L97" s="53"/>
      <c r="M97" s="51"/>
      <c r="N97" s="52"/>
      <c r="O97" s="51"/>
      <c r="P97" s="21"/>
      <c r="Q97" s="21"/>
      <c r="R97" s="21"/>
    </row>
    <row r="98" spans="1:18" x14ac:dyDescent="0.2">
      <c r="A98" s="23"/>
      <c r="B98" s="23"/>
      <c r="C98" s="22"/>
      <c r="D98" s="21"/>
      <c r="E98" s="25"/>
      <c r="F98" s="21"/>
      <c r="G98" s="21"/>
      <c r="H98" s="21"/>
      <c r="K98" s="53"/>
      <c r="L98" s="53"/>
      <c r="M98" s="51"/>
      <c r="N98" s="52"/>
      <c r="O98" s="51"/>
      <c r="P98" s="21"/>
      <c r="Q98" s="21"/>
      <c r="R98" s="21"/>
    </row>
    <row r="99" spans="1:18" x14ac:dyDescent="0.2">
      <c r="A99" s="23"/>
      <c r="B99" s="23"/>
      <c r="C99" s="22"/>
      <c r="D99" s="21"/>
      <c r="E99" s="25"/>
      <c r="F99" s="21"/>
      <c r="G99" s="21"/>
      <c r="H99" s="21"/>
      <c r="K99" s="53"/>
      <c r="L99" s="53"/>
      <c r="M99" s="51"/>
      <c r="N99" s="52"/>
      <c r="O99" s="51"/>
      <c r="P99" s="21"/>
      <c r="Q99" s="21"/>
      <c r="R99" s="21"/>
    </row>
    <row r="100" spans="1:18" x14ac:dyDescent="0.2">
      <c r="A100" s="23"/>
      <c r="B100" s="23"/>
      <c r="C100" s="22"/>
      <c r="D100" s="21"/>
      <c r="E100" s="25"/>
      <c r="F100" s="21"/>
      <c r="G100" s="21"/>
      <c r="H100" s="21"/>
      <c r="K100" s="53"/>
      <c r="L100" s="53"/>
      <c r="M100" s="51"/>
      <c r="N100" s="52"/>
      <c r="O100" s="51"/>
      <c r="P100" s="21"/>
      <c r="Q100" s="21"/>
      <c r="R100" s="21"/>
    </row>
    <row r="101" spans="1:18" x14ac:dyDescent="0.2">
      <c r="A101" s="23"/>
      <c r="B101" s="23"/>
      <c r="C101" s="22"/>
      <c r="D101" s="21"/>
      <c r="E101" s="25"/>
      <c r="F101" s="21"/>
      <c r="G101" s="21"/>
      <c r="H101" s="21"/>
      <c r="K101" s="53"/>
      <c r="L101" s="53"/>
      <c r="M101" s="51"/>
      <c r="N101" s="52"/>
      <c r="O101" s="51"/>
      <c r="P101" s="21"/>
      <c r="Q101" s="21"/>
      <c r="R101" s="21"/>
    </row>
    <row r="102" spans="1:18" x14ac:dyDescent="0.2">
      <c r="A102" s="23"/>
      <c r="B102" s="23"/>
      <c r="C102" s="22"/>
      <c r="D102" s="21"/>
      <c r="E102" s="25"/>
      <c r="F102" s="21"/>
      <c r="G102" s="21"/>
      <c r="H102" s="21"/>
      <c r="K102" s="53"/>
      <c r="L102" s="53"/>
      <c r="M102" s="51"/>
      <c r="N102" s="52"/>
      <c r="O102" s="51"/>
      <c r="P102" s="21"/>
      <c r="Q102" s="21"/>
      <c r="R102" s="21"/>
    </row>
    <row r="103" spans="1:18" x14ac:dyDescent="0.2">
      <c r="A103" s="23"/>
      <c r="B103" s="23"/>
      <c r="C103" s="22"/>
      <c r="D103" s="21"/>
      <c r="E103" s="25"/>
      <c r="F103" s="21"/>
      <c r="G103" s="21"/>
      <c r="H103" s="21"/>
      <c r="K103" s="53"/>
      <c r="L103" s="53"/>
      <c r="M103" s="51"/>
      <c r="N103" s="52"/>
      <c r="O103" s="51"/>
      <c r="P103" s="21"/>
      <c r="Q103" s="21"/>
      <c r="R103" s="21"/>
    </row>
    <row r="104" spans="1:18" x14ac:dyDescent="0.2">
      <c r="A104" s="23"/>
      <c r="B104" s="23"/>
      <c r="C104" s="22"/>
      <c r="D104" s="21"/>
      <c r="E104" s="25"/>
      <c r="F104" s="21"/>
      <c r="G104" s="21"/>
      <c r="H104" s="21"/>
      <c r="K104" s="53"/>
      <c r="L104" s="53"/>
      <c r="M104" s="51"/>
      <c r="N104" s="52"/>
      <c r="O104" s="51"/>
      <c r="P104" s="21"/>
      <c r="Q104" s="21"/>
      <c r="R104" s="21"/>
    </row>
    <row r="105" spans="1:18" x14ac:dyDescent="0.2">
      <c r="A105" s="23"/>
      <c r="B105" s="23"/>
      <c r="C105" s="22"/>
      <c r="D105" s="21"/>
      <c r="E105" s="25"/>
      <c r="F105" s="21"/>
      <c r="G105" s="21"/>
      <c r="H105" s="21"/>
      <c r="K105" s="53"/>
      <c r="L105" s="53"/>
      <c r="M105" s="51"/>
      <c r="N105" s="52"/>
      <c r="O105" s="51"/>
      <c r="P105" s="21"/>
      <c r="Q105" s="21"/>
      <c r="R105" s="21"/>
    </row>
    <row r="106" spans="1:18" x14ac:dyDescent="0.2">
      <c r="A106" s="23"/>
      <c r="B106" s="23"/>
      <c r="C106" s="22"/>
      <c r="D106" s="21"/>
      <c r="E106" s="25"/>
      <c r="F106" s="21"/>
      <c r="G106" s="21"/>
      <c r="H106" s="21"/>
      <c r="K106" s="53"/>
      <c r="L106" s="53"/>
      <c r="M106" s="51"/>
      <c r="N106" s="52"/>
      <c r="O106" s="51"/>
      <c r="P106" s="21"/>
      <c r="Q106" s="21"/>
      <c r="R106" s="21"/>
    </row>
    <row r="107" spans="1:18" x14ac:dyDescent="0.2">
      <c r="A107" s="23"/>
      <c r="B107" s="23"/>
      <c r="C107" s="22"/>
      <c r="D107" s="21"/>
      <c r="E107" s="25"/>
      <c r="F107" s="21"/>
      <c r="G107" s="21"/>
      <c r="H107" s="21"/>
      <c r="K107" s="53"/>
      <c r="L107" s="53"/>
      <c r="M107" s="51"/>
      <c r="N107" s="52"/>
      <c r="O107" s="51"/>
      <c r="P107" s="21"/>
      <c r="Q107" s="21"/>
      <c r="R107" s="21"/>
    </row>
    <row r="108" spans="1:18" x14ac:dyDescent="0.2">
      <c r="A108" s="23"/>
      <c r="B108" s="23"/>
      <c r="C108" s="22"/>
      <c r="D108" s="21"/>
      <c r="E108" s="25"/>
      <c r="F108" s="21"/>
      <c r="G108" s="21"/>
      <c r="H108" s="21"/>
      <c r="K108" s="53"/>
      <c r="L108" s="53"/>
      <c r="M108" s="51"/>
      <c r="N108" s="52"/>
      <c r="O108" s="51"/>
      <c r="P108" s="21"/>
      <c r="Q108" s="21"/>
      <c r="R108" s="21"/>
    </row>
    <row r="109" spans="1:18" x14ac:dyDescent="0.2">
      <c r="A109" s="23"/>
      <c r="B109" s="23"/>
      <c r="C109" s="22"/>
      <c r="D109" s="21"/>
      <c r="E109" s="25"/>
      <c r="F109" s="21"/>
      <c r="G109" s="21"/>
      <c r="H109" s="21"/>
      <c r="K109" s="53"/>
      <c r="L109" s="53"/>
      <c r="M109" s="51"/>
      <c r="N109" s="52"/>
      <c r="O109" s="51"/>
      <c r="P109" s="21"/>
      <c r="Q109" s="21"/>
      <c r="R109" s="21"/>
    </row>
    <row r="110" spans="1:18" x14ac:dyDescent="0.2">
      <c r="A110" s="23"/>
      <c r="B110" s="23"/>
      <c r="C110" s="22"/>
      <c r="D110" s="21"/>
      <c r="E110" s="25"/>
      <c r="F110" s="21"/>
      <c r="G110" s="21"/>
      <c r="H110" s="21"/>
      <c r="K110" s="53"/>
      <c r="L110" s="53"/>
      <c r="M110" s="51"/>
      <c r="N110" s="52"/>
      <c r="O110" s="51"/>
      <c r="P110" s="21"/>
      <c r="Q110" s="21"/>
      <c r="R110" s="21"/>
    </row>
    <row r="111" spans="1:18" x14ac:dyDescent="0.2">
      <c r="A111" s="23"/>
      <c r="B111" s="23"/>
      <c r="C111" s="22"/>
      <c r="D111" s="21"/>
      <c r="E111" s="25"/>
      <c r="F111" s="21"/>
      <c r="G111" s="21"/>
      <c r="H111" s="21"/>
      <c r="K111" s="53"/>
      <c r="L111" s="53"/>
      <c r="M111" s="51"/>
      <c r="N111" s="52"/>
      <c r="O111" s="51"/>
      <c r="P111" s="21"/>
      <c r="Q111" s="21"/>
      <c r="R111" s="21"/>
    </row>
    <row r="112" spans="1:18" x14ac:dyDescent="0.2">
      <c r="A112" s="23"/>
      <c r="B112" s="23"/>
      <c r="C112" s="22"/>
      <c r="D112" s="21"/>
      <c r="E112" s="25"/>
      <c r="F112" s="21"/>
      <c r="G112" s="21"/>
      <c r="H112" s="21"/>
      <c r="K112" s="53"/>
      <c r="L112" s="53"/>
      <c r="M112" s="51"/>
      <c r="N112" s="52"/>
      <c r="O112" s="51"/>
      <c r="P112" s="21"/>
      <c r="Q112" s="21"/>
      <c r="R112" s="21"/>
    </row>
    <row r="113" spans="1:18" x14ac:dyDescent="0.2">
      <c r="A113" s="23"/>
      <c r="B113" s="23"/>
      <c r="C113" s="22"/>
      <c r="D113" s="21"/>
      <c r="E113" s="25"/>
      <c r="F113" s="21"/>
      <c r="G113" s="21"/>
      <c r="H113" s="21"/>
      <c r="K113" s="53"/>
      <c r="L113" s="53"/>
      <c r="M113" s="51"/>
      <c r="N113" s="52"/>
      <c r="O113" s="51"/>
      <c r="P113" s="21"/>
      <c r="Q113" s="21"/>
      <c r="R113" s="21"/>
    </row>
    <row r="114" spans="1:18" x14ac:dyDescent="0.2">
      <c r="A114" s="23"/>
      <c r="B114" s="23"/>
      <c r="C114" s="22"/>
      <c r="D114" s="21"/>
      <c r="E114" s="25"/>
      <c r="F114" s="21"/>
      <c r="G114" s="21"/>
      <c r="H114" s="21"/>
      <c r="K114" s="53"/>
      <c r="L114" s="53"/>
      <c r="M114" s="51"/>
      <c r="N114" s="52"/>
      <c r="O114" s="51"/>
      <c r="P114" s="21"/>
      <c r="Q114" s="21"/>
      <c r="R114" s="21"/>
    </row>
    <row r="115" spans="1:18" x14ac:dyDescent="0.2">
      <c r="A115" s="23"/>
      <c r="B115" s="23"/>
      <c r="C115" s="22"/>
      <c r="D115" s="21"/>
      <c r="E115" s="25"/>
      <c r="F115" s="21"/>
      <c r="G115" s="21"/>
      <c r="H115" s="21"/>
      <c r="K115" s="53"/>
      <c r="L115" s="53"/>
      <c r="M115" s="51"/>
      <c r="N115" s="52"/>
      <c r="O115" s="51"/>
      <c r="P115" s="21"/>
      <c r="Q115" s="21"/>
      <c r="R115" s="21"/>
    </row>
    <row r="116" spans="1:18" x14ac:dyDescent="0.2">
      <c r="A116" s="23"/>
      <c r="B116" s="23"/>
      <c r="C116" s="22"/>
      <c r="D116" s="21"/>
      <c r="E116" s="25"/>
      <c r="F116" s="21"/>
      <c r="G116" s="21"/>
      <c r="H116" s="21"/>
      <c r="K116" s="53"/>
      <c r="L116" s="53"/>
      <c r="M116" s="51"/>
      <c r="N116" s="52"/>
      <c r="O116" s="51"/>
      <c r="P116" s="21"/>
      <c r="Q116" s="21"/>
      <c r="R116" s="21"/>
    </row>
    <row r="117" spans="1:18" x14ac:dyDescent="0.2">
      <c r="A117" s="23"/>
      <c r="B117" s="23"/>
      <c r="C117" s="22"/>
      <c r="D117" s="21"/>
      <c r="E117" s="25"/>
      <c r="F117" s="21"/>
      <c r="G117" s="21"/>
      <c r="H117" s="21"/>
      <c r="K117" s="53"/>
      <c r="L117" s="53"/>
      <c r="M117" s="51"/>
      <c r="N117" s="52"/>
      <c r="O117" s="51"/>
      <c r="P117" s="21"/>
      <c r="Q117" s="21"/>
      <c r="R117" s="21"/>
    </row>
    <row r="118" spans="1:18" x14ac:dyDescent="0.2">
      <c r="A118" s="23"/>
      <c r="B118" s="23"/>
      <c r="C118" s="22"/>
      <c r="D118" s="21"/>
      <c r="E118" s="25"/>
      <c r="F118" s="21"/>
      <c r="G118" s="21"/>
      <c r="H118" s="21"/>
      <c r="K118" s="53"/>
      <c r="L118" s="53"/>
      <c r="M118" s="51"/>
      <c r="N118" s="52"/>
      <c r="O118" s="51"/>
      <c r="P118" s="21"/>
      <c r="Q118" s="21"/>
      <c r="R118" s="21"/>
    </row>
    <row r="119" spans="1:18" x14ac:dyDescent="0.2">
      <c r="A119" s="23"/>
      <c r="B119" s="23"/>
      <c r="C119" s="22"/>
      <c r="D119" s="21"/>
      <c r="E119" s="25"/>
      <c r="F119" s="21"/>
      <c r="G119" s="21"/>
      <c r="H119" s="21"/>
      <c r="K119" s="53"/>
      <c r="L119" s="53"/>
      <c r="M119" s="51"/>
      <c r="N119" s="52"/>
      <c r="O119" s="51"/>
      <c r="P119" s="21"/>
      <c r="Q119" s="21"/>
      <c r="R119" s="21"/>
    </row>
    <row r="120" spans="1:18" x14ac:dyDescent="0.2">
      <c r="A120" s="23"/>
      <c r="B120" s="23"/>
      <c r="C120" s="22"/>
      <c r="D120" s="21"/>
      <c r="E120" s="25"/>
      <c r="F120" s="21"/>
      <c r="G120" s="21"/>
      <c r="H120" s="21"/>
      <c r="K120" s="53"/>
      <c r="L120" s="53"/>
      <c r="M120" s="51"/>
      <c r="N120" s="52"/>
      <c r="O120" s="51"/>
      <c r="P120" s="21"/>
      <c r="Q120" s="21"/>
      <c r="R120" s="21"/>
    </row>
    <row r="121" spans="1:18" x14ac:dyDescent="0.2">
      <c r="A121" s="23"/>
      <c r="B121" s="23"/>
      <c r="C121" s="22"/>
      <c r="D121" s="21"/>
      <c r="E121" s="25"/>
      <c r="F121" s="21"/>
      <c r="G121" s="21"/>
      <c r="H121" s="21"/>
      <c r="K121" s="53"/>
      <c r="L121" s="53"/>
      <c r="M121" s="51"/>
      <c r="N121" s="52"/>
      <c r="O121" s="51"/>
      <c r="P121" s="21"/>
      <c r="Q121" s="21"/>
      <c r="R121" s="21"/>
    </row>
    <row r="122" spans="1:18" x14ac:dyDescent="0.2">
      <c r="A122" s="23"/>
      <c r="B122" s="23"/>
      <c r="C122" s="22"/>
      <c r="D122" s="21"/>
      <c r="E122" s="25"/>
      <c r="F122" s="21"/>
      <c r="G122" s="21"/>
      <c r="H122" s="21"/>
      <c r="K122" s="53"/>
      <c r="L122" s="53"/>
      <c r="M122" s="51"/>
      <c r="N122" s="52"/>
      <c r="O122" s="51"/>
      <c r="P122" s="21"/>
      <c r="Q122" s="21"/>
      <c r="R122" s="21"/>
    </row>
    <row r="123" spans="1:18" x14ac:dyDescent="0.2">
      <c r="A123" s="23"/>
      <c r="B123" s="23"/>
      <c r="C123" s="22"/>
      <c r="D123" s="21"/>
      <c r="E123" s="25"/>
      <c r="F123" s="21"/>
      <c r="G123" s="21"/>
      <c r="H123" s="21"/>
      <c r="K123" s="53"/>
      <c r="L123" s="53"/>
      <c r="M123" s="51"/>
      <c r="N123" s="52"/>
      <c r="O123" s="51"/>
      <c r="P123" s="21"/>
      <c r="Q123" s="21"/>
      <c r="R123" s="21"/>
    </row>
    <row r="124" spans="1:18" x14ac:dyDescent="0.2">
      <c r="A124" s="23"/>
      <c r="B124" s="23"/>
      <c r="C124" s="22"/>
      <c r="D124" s="21"/>
      <c r="E124" s="25"/>
      <c r="F124" s="21"/>
      <c r="G124" s="21"/>
      <c r="H124" s="21"/>
      <c r="K124" s="53"/>
      <c r="L124" s="53"/>
      <c r="M124" s="51"/>
      <c r="N124" s="52"/>
      <c r="O124" s="51"/>
      <c r="P124" s="21"/>
      <c r="Q124" s="21"/>
      <c r="R124" s="21"/>
    </row>
    <row r="125" spans="1:18" x14ac:dyDescent="0.2">
      <c r="A125" s="23"/>
      <c r="B125" s="23"/>
      <c r="C125" s="22"/>
      <c r="D125" s="21"/>
      <c r="E125" s="25"/>
      <c r="F125" s="21"/>
      <c r="G125" s="21"/>
      <c r="H125" s="21"/>
      <c r="K125" s="53"/>
      <c r="L125" s="53"/>
      <c r="M125" s="51"/>
      <c r="N125" s="52"/>
      <c r="O125" s="51"/>
      <c r="P125" s="21"/>
      <c r="Q125" s="21"/>
      <c r="R125" s="21"/>
    </row>
    <row r="126" spans="1:18" x14ac:dyDescent="0.2">
      <c r="A126" s="21"/>
      <c r="B126" s="21"/>
      <c r="C126" s="22"/>
      <c r="D126" s="21"/>
      <c r="E126" s="25"/>
      <c r="F126" s="21"/>
      <c r="G126" s="21"/>
      <c r="H126" s="21"/>
      <c r="K126" s="52"/>
      <c r="L126" s="52"/>
      <c r="M126" s="51"/>
      <c r="N126" s="52"/>
      <c r="O126" s="51"/>
      <c r="P126" s="21"/>
      <c r="Q126" s="21"/>
      <c r="R126" s="21"/>
    </row>
    <row r="127" spans="1:18" ht="16.5" customHeight="1" x14ac:dyDescent="0.2">
      <c r="A127" s="45"/>
      <c r="B127" s="45" t="s">
        <v>19</v>
      </c>
      <c r="C127" s="45"/>
      <c r="D127" s="45"/>
      <c r="E127" s="17">
        <f>SUM(E3,E4:E126)</f>
        <v>2032</v>
      </c>
      <c r="F127" s="17"/>
      <c r="G127" s="17"/>
      <c r="H127" s="17"/>
      <c r="K127" s="45"/>
      <c r="L127" s="45" t="s">
        <v>19</v>
      </c>
      <c r="M127" s="45"/>
      <c r="N127" s="45"/>
      <c r="O127" s="17">
        <f>SUM(O3,O4:O126)</f>
        <v>0</v>
      </c>
      <c r="P127" s="17"/>
      <c r="Q127" s="17"/>
      <c r="R127" s="17"/>
    </row>
    <row r="130" spans="2:7" x14ac:dyDescent="0.2">
      <c r="D130" s="57" t="s">
        <v>20</v>
      </c>
      <c r="E130" s="58"/>
      <c r="F130" s="19">
        <f>SUM(E127,O127)</f>
        <v>2032</v>
      </c>
    </row>
    <row r="133" spans="2:7" x14ac:dyDescent="0.2">
      <c r="B133" t="s">
        <v>26</v>
      </c>
      <c r="F133" t="s">
        <v>27</v>
      </c>
    </row>
    <row r="135" spans="2:7" x14ac:dyDescent="0.2">
      <c r="B135" t="s">
        <v>23</v>
      </c>
      <c r="C135">
        <f>+COUNTA(C3:C126)</f>
        <v>60</v>
      </c>
      <c r="F135" t="s">
        <v>23</v>
      </c>
      <c r="G135">
        <f>+COUNTA(M3:M126)</f>
        <v>0</v>
      </c>
    </row>
    <row r="136" spans="2:7" x14ac:dyDescent="0.2">
      <c r="B136" t="s">
        <v>24</v>
      </c>
      <c r="C136">
        <f>+E127</f>
        <v>2032</v>
      </c>
      <c r="F136" t="s">
        <v>24</v>
      </c>
      <c r="G136">
        <f>+O127</f>
        <v>0</v>
      </c>
    </row>
    <row r="137" spans="2:7" x14ac:dyDescent="0.2">
      <c r="B137" t="s">
        <v>25</v>
      </c>
      <c r="C137" s="20">
        <f>+C136/C135</f>
        <v>33.866666666666667</v>
      </c>
      <c r="F137" t="s">
        <v>25</v>
      </c>
      <c r="G137" s="20" t="e">
        <f>+G136/G135</f>
        <v>#DIV/0!</v>
      </c>
    </row>
  </sheetData>
  <mergeCells count="3">
    <mergeCell ref="D130:E130"/>
    <mergeCell ref="A1:H1"/>
    <mergeCell ref="K1:R1"/>
  </mergeCells>
  <phoneticPr fontId="4" alignment="center"/>
  <dataValidations count="1">
    <dataValidation type="list" allowBlank="1" showInputMessage="1" showErrorMessage="1" sqref="F3:F127 P3:P127" xr:uid="{68C8F208-F21E-49E6-97F5-571E33888619}">
      <formula1>"Óxido,Sulfuro,Estéril"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B5DD-6056-994F-87AF-2BDD27259D92}">
  <dimension ref="A1"/>
  <sheetViews>
    <sheetView topLeftCell="K1" zoomScaleNormal="60" zoomScaleSheetLayoutView="100" workbookViewId="0"/>
  </sheetViews>
  <sheetFormatPr defaultColWidth="8.87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C95A-CC48-BD43-8BF3-664CCC984C74}">
  <dimension ref="A1:E11"/>
  <sheetViews>
    <sheetView zoomScaleNormal="60" zoomScaleSheetLayoutView="100" workbookViewId="0">
      <selection activeCell="D16" sqref="D16"/>
    </sheetView>
  </sheetViews>
  <sheetFormatPr defaultColWidth="8.875" defaultRowHeight="15" x14ac:dyDescent="0.2"/>
  <cols>
    <col min="1" max="1" width="10.4921875" bestFit="1" customWidth="1"/>
    <col min="2" max="2" width="18.5625" customWidth="1"/>
    <col min="3" max="3" width="12.5078125" customWidth="1"/>
    <col min="4" max="4" width="14.796875" customWidth="1"/>
    <col min="5" max="5" width="13.71875" customWidth="1"/>
  </cols>
  <sheetData>
    <row r="1" spans="1:5" x14ac:dyDescent="0.2">
      <c r="A1" s="17" t="s">
        <v>0</v>
      </c>
      <c r="B1" s="17" t="s">
        <v>28</v>
      </c>
      <c r="C1" s="17" t="s">
        <v>30</v>
      </c>
      <c r="D1" s="17" t="s">
        <v>31</v>
      </c>
    </row>
    <row r="2" spans="1:5" x14ac:dyDescent="0.2">
      <c r="A2" s="28"/>
      <c r="B2" s="22"/>
      <c r="C2" s="22"/>
      <c r="D2" s="28"/>
      <c r="E2" s="3"/>
    </row>
    <row r="3" spans="1:5" x14ac:dyDescent="0.2">
      <c r="A3" s="22"/>
      <c r="B3" s="22"/>
      <c r="C3" s="22"/>
      <c r="D3" s="22"/>
    </row>
    <row r="4" spans="1:5" x14ac:dyDescent="0.2">
      <c r="A4" s="28"/>
      <c r="B4" s="22"/>
      <c r="C4" s="22"/>
      <c r="D4" s="22"/>
    </row>
    <row r="5" spans="1:5" x14ac:dyDescent="0.2">
      <c r="A5" s="22"/>
      <c r="B5" s="22"/>
      <c r="C5" s="22"/>
      <c r="D5" s="22"/>
    </row>
    <row r="6" spans="1:5" x14ac:dyDescent="0.2">
      <c r="A6" s="22"/>
      <c r="B6" s="22"/>
      <c r="C6" s="22"/>
      <c r="D6" s="22"/>
    </row>
    <row r="7" spans="1:5" x14ac:dyDescent="0.2">
      <c r="A7" s="6"/>
      <c r="B7" s="6"/>
      <c r="C7" s="26"/>
      <c r="D7" s="6"/>
    </row>
    <row r="8" spans="1:5" x14ac:dyDescent="0.2">
      <c r="A8" s="6"/>
      <c r="B8" s="6"/>
      <c r="C8" s="26"/>
      <c r="D8" s="6"/>
    </row>
    <row r="9" spans="1:5" x14ac:dyDescent="0.2">
      <c r="A9" s="6"/>
      <c r="B9" s="6"/>
      <c r="C9" s="26"/>
      <c r="D9" s="6"/>
    </row>
    <row r="10" spans="1:5" x14ac:dyDescent="0.2">
      <c r="A10" s="18"/>
      <c r="B10" s="18"/>
      <c r="C10" s="27"/>
      <c r="D10" s="18"/>
    </row>
    <row r="11" spans="1:5" x14ac:dyDescent="0.2">
      <c r="A11" s="72"/>
      <c r="B11" s="72"/>
      <c r="C11" s="72"/>
      <c r="D11" s="17"/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Mayo 26</vt:lpstr>
      <vt:lpstr>tiros Mayo 26</vt:lpstr>
      <vt:lpstr>Hoja1</vt:lpstr>
      <vt:lpstr>TilTil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56976926914</dc:creator>
  <cp:lastModifiedBy>Sebastian Aníbal Zapata Fuenzalida</cp:lastModifiedBy>
  <dcterms:created xsi:type="dcterms:W3CDTF">2023-12-12T08:48:21Z</dcterms:created>
  <dcterms:modified xsi:type="dcterms:W3CDTF">2026-05-20T19:32:34Z</dcterms:modified>
</cp:coreProperties>
</file>